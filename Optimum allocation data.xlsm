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WebImage.xml" ContentType="application/vnd.ms-excel.rdrichvaluewebimage+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codeName="ThisWorkbook" defaultThemeVersion="166925"/>
  <mc:AlternateContent xmlns:mc="http://schemas.openxmlformats.org/markup-compatibility/2006">
    <mc:Choice Requires="x15">
      <x15ac:absPath xmlns:x15ac="http://schemas.microsoft.com/office/spreadsheetml/2010/11/ac" url="https://d.docs.live.net/18948c8ed8050305/University/ZZCA6510 Decision Making in Analytics/Assessment 3/"/>
    </mc:Choice>
  </mc:AlternateContent>
  <xr:revisionPtr revIDLastSave="56628" documentId="8_{E17533F7-4A5A-4993-818E-8B3B04F6890F}" xr6:coauthVersionLast="47" xr6:coauthVersionMax="47" xr10:uidLastSave="{7F5449C1-538E-44D8-9F6E-5084FB0E472C}"/>
  <bookViews>
    <workbookView xWindow="1290" yWindow="1220" windowWidth="24930" windowHeight="19690" firstSheet="5" activeTab="11" xr2:uid="{95BA1041-105E-44BE-B4D7-ECE7050A6034}"/>
  </bookViews>
  <sheets>
    <sheet name="T1Solution" sheetId="25" state="hidden" r:id="rId1"/>
    <sheet name="T1Solution No Nut Cons" sheetId="27" state="hidden" r:id="rId2"/>
    <sheet name="T2Solution" sheetId="28" state="hidden" r:id="rId3"/>
    <sheet name="T3Data" sheetId="1" r:id="rId4"/>
    <sheet name="T3BAU" sheetId="11" r:id="rId5"/>
    <sheet name="T3LowestCost" sheetId="15" r:id="rId6"/>
    <sheet name="T3Balanced" sheetId="19" r:id="rId7"/>
    <sheet name="T3LowerCost" sheetId="21" r:id="rId8"/>
    <sheet name="T3LowerCO2" sheetId="22" r:id="rId9"/>
    <sheet name="T3LowestCO2" sheetId="17" r:id="rId10"/>
    <sheet name="T3UnlimitedCap" sheetId="23" r:id="rId11"/>
    <sheet name="T3Report" sheetId="24" r:id="rId12"/>
  </sheets>
  <externalReferences>
    <externalReference r:id="rId13"/>
  </externalReferences>
  <definedNames>
    <definedName name="_xlcn.WorksheetConnection_DataC2C19" hidden="1">T3Data!$C$2:$C$19</definedName>
    <definedName name="_xlcn.WorksheetConnection_TableauA1F19" hidden="1">[1]Tableau!$A$1:$H$19</definedName>
    <definedName name="NodeConstraints">#REF!</definedName>
    <definedName name="PathTable">#REF!</definedName>
    <definedName name="RailDistances">T3Data!$A$50:$S$68</definedName>
    <definedName name="SeaDistances">T3Data!$A$30:$S$48</definedName>
    <definedName name="SiteList">T3Data!$B$1:$L$19</definedName>
    <definedName name="solver_adj" localSheetId="0" hidden="1">T1Solution!$B$18:$D$18</definedName>
    <definedName name="solver_adj" localSheetId="1" hidden="1">'T1Solution No Nut Cons'!$B$17:$D$17</definedName>
    <definedName name="solver_adj" localSheetId="2" hidden="1">T2Solution!$B$11:$H$11</definedName>
    <definedName name="solver_adj" localSheetId="6" hidden="1">T3Balanced!$A$3:$A$102,T3Balanced!$G$3:$G$10</definedName>
    <definedName name="solver_adj" localSheetId="4" hidden="1">T3BAU!$A$3:$A$100,T3BAU!$G$3:$G$10</definedName>
    <definedName name="solver_adj" localSheetId="8" hidden="1">T3LowerCO2!$A$3:$A$102,T3LowerCO2!$G$3:$G$10</definedName>
    <definedName name="solver_adj" localSheetId="7" hidden="1">T3LowerCost!$A$3:$A$102,T3LowerCost!$G$3:$G$10</definedName>
    <definedName name="solver_adj" localSheetId="9" hidden="1">T3LowestCO2!$A$3:$A$102,T3LowestCO2!$G$3:$G$10</definedName>
    <definedName name="solver_adj" localSheetId="5" hidden="1">T3LowestCost!$A$3:$A$102,T3LowestCost!$G$3:$G$10</definedName>
    <definedName name="solver_adj" localSheetId="10" hidden="1">T3UnlimitedCap!$A$3:$A$102,T3UnlimitedCap!$G$3:$G$10</definedName>
    <definedName name="solver_cvg" localSheetId="0" hidden="1">0.0001</definedName>
    <definedName name="solver_cvg" localSheetId="1" hidden="1">0.0001</definedName>
    <definedName name="solver_cvg" localSheetId="2" hidden="1">0.0001</definedName>
    <definedName name="solver_cvg" localSheetId="6" hidden="1">0.0001</definedName>
    <definedName name="solver_cvg" localSheetId="4" hidden="1">0.0001</definedName>
    <definedName name="solver_cvg" localSheetId="8" hidden="1">0.0001</definedName>
    <definedName name="solver_cvg" localSheetId="7" hidden="1">0.0001</definedName>
    <definedName name="solver_cvg" localSheetId="9" hidden="1">0.0001</definedName>
    <definedName name="solver_cvg" localSheetId="5" hidden="1">0.0001</definedName>
    <definedName name="solver_cvg" localSheetId="10" hidden="1">0.0001</definedName>
    <definedName name="solver_drv" localSheetId="0" hidden="1">1</definedName>
    <definedName name="solver_drv" localSheetId="1" hidden="1">1</definedName>
    <definedName name="solver_drv" localSheetId="2" hidden="1">1</definedName>
    <definedName name="solver_drv" localSheetId="6" hidden="1">2</definedName>
    <definedName name="solver_drv" localSheetId="4" hidden="1">2</definedName>
    <definedName name="solver_drv" localSheetId="8" hidden="1">2</definedName>
    <definedName name="solver_drv" localSheetId="7" hidden="1">2</definedName>
    <definedName name="solver_drv" localSheetId="9" hidden="1">2</definedName>
    <definedName name="solver_drv" localSheetId="5" hidden="1">2</definedName>
    <definedName name="solver_drv" localSheetId="10" hidden="1">2</definedName>
    <definedName name="solver_eng" localSheetId="0" hidden="1">2</definedName>
    <definedName name="solver_eng" localSheetId="1" hidden="1">2</definedName>
    <definedName name="solver_eng" localSheetId="2" hidden="1">2</definedName>
    <definedName name="solver_eng" localSheetId="6" hidden="1">2</definedName>
    <definedName name="solver_eng" localSheetId="4" hidden="1">2</definedName>
    <definedName name="solver_eng" localSheetId="8" hidden="1">2</definedName>
    <definedName name="solver_eng" localSheetId="7" hidden="1">2</definedName>
    <definedName name="solver_eng" localSheetId="9" hidden="1">2</definedName>
    <definedName name="solver_eng" localSheetId="5" hidden="1">2</definedName>
    <definedName name="solver_eng" localSheetId="10" hidden="1">2</definedName>
    <definedName name="solver_est" localSheetId="0" hidden="1">1</definedName>
    <definedName name="solver_est" localSheetId="1" hidden="1">1</definedName>
    <definedName name="solver_est" localSheetId="2" hidden="1">1</definedName>
    <definedName name="solver_est" localSheetId="6" hidden="1">1</definedName>
    <definedName name="solver_est" localSheetId="4" hidden="1">1</definedName>
    <definedName name="solver_est" localSheetId="8" hidden="1">1</definedName>
    <definedName name="solver_est" localSheetId="7" hidden="1">1</definedName>
    <definedName name="solver_est" localSheetId="9" hidden="1">1</definedName>
    <definedName name="solver_est" localSheetId="5" hidden="1">1</definedName>
    <definedName name="solver_est" localSheetId="10" hidden="1">1</definedName>
    <definedName name="solver_itr" localSheetId="0" hidden="1">2147483647</definedName>
    <definedName name="solver_itr" localSheetId="1" hidden="1">2147483647</definedName>
    <definedName name="solver_itr" localSheetId="2" hidden="1">2147483647</definedName>
    <definedName name="solver_itr" localSheetId="6" hidden="1">2147483647</definedName>
    <definedName name="solver_itr" localSheetId="4" hidden="1">2147483647</definedName>
    <definedName name="solver_itr" localSheetId="8" hidden="1">2147483647</definedName>
    <definedName name="solver_itr" localSheetId="7" hidden="1">2147483647</definedName>
    <definedName name="solver_itr" localSheetId="9" hidden="1">2147483647</definedName>
    <definedName name="solver_itr" localSheetId="5" hidden="1">2147483647</definedName>
    <definedName name="solver_itr" localSheetId="10" hidden="1">2147483647</definedName>
    <definedName name="solver_lhs1" localSheetId="0" hidden="1">T1Solution!$B$18:$D$18</definedName>
    <definedName name="solver_lhs1" localSheetId="1" hidden="1">'T1Solution No Nut Cons'!$E$21</definedName>
    <definedName name="solver_lhs1" localSheetId="2" hidden="1">T2Solution!$B$11:$H$11</definedName>
    <definedName name="solver_lhs1" localSheetId="6" hidden="1">T3Balanced!$A$3</definedName>
    <definedName name="solver_lhs1" localSheetId="4" hidden="1">T3BAU!$A$3</definedName>
    <definedName name="solver_lhs1" localSheetId="8" hidden="1">T3LowerCO2!$A$3</definedName>
    <definedName name="solver_lhs1" localSheetId="7" hidden="1">T3LowerCost!$A$3</definedName>
    <definedName name="solver_lhs1" localSheetId="9" hidden="1">T3LowestCO2!$A$3</definedName>
    <definedName name="solver_lhs1" localSheetId="5" hidden="1">T3LowestCost!$A$3</definedName>
    <definedName name="solver_lhs1" localSheetId="10" hidden="1">T3UnlimitedCap!$A$3</definedName>
    <definedName name="solver_lhs2" localSheetId="0" hidden="1">T1Solution!$E$22</definedName>
    <definedName name="solver_lhs2" localSheetId="1" hidden="1">'T1Solution No Nut Cons'!$E$22</definedName>
    <definedName name="solver_lhs2" localSheetId="2" hidden="1">T2Solution!$B$11:$H$11</definedName>
    <definedName name="solver_lhs2" localSheetId="6" hidden="1">T3Balanced!$A$3:$A$10</definedName>
    <definedName name="solver_lhs2" localSheetId="4" hidden="1">T3BAU!$A$3:$A$10</definedName>
    <definedName name="solver_lhs2" localSheetId="8" hidden="1">T3LowerCO2!$A$3:$A$10</definedName>
    <definedName name="solver_lhs2" localSheetId="7" hidden="1">T3LowerCost!$A$3:$A$10</definedName>
    <definedName name="solver_lhs2" localSheetId="9" hidden="1">T3LowestCO2!$A$3:$A$10</definedName>
    <definedName name="solver_lhs2" localSheetId="5" hidden="1">T3LowestCost!$A$3:$A$10</definedName>
    <definedName name="solver_lhs2" localSheetId="10" hidden="1">T3UnlimitedCap!$A$3:$A$10</definedName>
    <definedName name="solver_lhs3" localSheetId="0" hidden="1">T1Solution!$E$23</definedName>
    <definedName name="solver_lhs3" localSheetId="1" hidden="1">'T1Solution No Nut Cons'!$E$24</definedName>
    <definedName name="solver_lhs3" localSheetId="2" hidden="1">T2Solution!$K$3:$K$9</definedName>
    <definedName name="solver_lhs3" localSheetId="6" hidden="1">T3Balanced!$A$3:$A$10</definedName>
    <definedName name="solver_lhs3" localSheetId="4" hidden="1">T3BAU!$A$3:$A$10</definedName>
    <definedName name="solver_lhs3" localSheetId="8" hidden="1">T3LowerCO2!$A$3:$A$10</definedName>
    <definedName name="solver_lhs3" localSheetId="7" hidden="1">T3LowerCost!$A$3:$A$10</definedName>
    <definedName name="solver_lhs3" localSheetId="9" hidden="1">T3LowestCO2!$A$3:$A$10</definedName>
    <definedName name="solver_lhs3" localSheetId="5" hidden="1">T3LowestCost!$A$3:$A$10</definedName>
    <definedName name="solver_lhs3" localSheetId="10" hidden="1">T3UnlimitedCap!$A$3:$A$10</definedName>
    <definedName name="solver_lhs4" localSheetId="0" hidden="1">T1Solution!$E$25</definedName>
    <definedName name="solver_lhs4" localSheetId="1" hidden="1">'T1Solution No Nut Cons'!$E$25</definedName>
    <definedName name="solver_lhs4" localSheetId="6" hidden="1">T3Balanced!$A$3:$A$10</definedName>
    <definedName name="solver_lhs4" localSheetId="4" hidden="1">T3BAU!$A$3:$A$10</definedName>
    <definedName name="solver_lhs4" localSheetId="8" hidden="1">T3LowerCO2!$A$3:$A$10</definedName>
    <definedName name="solver_lhs4" localSheetId="7" hidden="1">T3LowerCost!$A$3:$A$10</definedName>
    <definedName name="solver_lhs4" localSheetId="9" hidden="1">T3LowestCO2!$A$3:$A$10</definedName>
    <definedName name="solver_lhs4" localSheetId="5" hidden="1">T3LowestCost!$A$3:$A$10</definedName>
    <definedName name="solver_lhs4" localSheetId="10" hidden="1">T3UnlimitedCap!$A$3:$A$10</definedName>
    <definedName name="solver_lhs5" localSheetId="0" hidden="1">T1Solution!$E$26</definedName>
    <definedName name="solver_lhs5" localSheetId="1" hidden="1">'T1Solution No Nut Cons'!$E$27</definedName>
    <definedName name="solver_lhs5" localSheetId="6" hidden="1">T3Balanced!$A$3:$A$102</definedName>
    <definedName name="solver_lhs5" localSheetId="4" hidden="1">T3BAU!$A$3:$A$100</definedName>
    <definedName name="solver_lhs5" localSheetId="8" hidden="1">T3LowerCO2!$A$3:$A$102</definedName>
    <definedName name="solver_lhs5" localSheetId="7" hidden="1">T3LowerCost!$A$3:$A$102</definedName>
    <definedName name="solver_lhs5" localSheetId="9" hidden="1">T3LowestCO2!$A$3:$A$102</definedName>
    <definedName name="solver_lhs5" localSheetId="5" hidden="1">T3LowestCost!$A$3:$A$102</definedName>
    <definedName name="solver_lhs5" localSheetId="10" hidden="1">T3UnlimitedCap!$A$3:$A$102</definedName>
    <definedName name="solver_lhs6" localSheetId="0" hidden="1">T1Solution!$E$28</definedName>
    <definedName name="solver_lhs6" localSheetId="1" hidden="1">'T1Solution No Nut Cons'!$E$27</definedName>
    <definedName name="solver_lhs6" localSheetId="6" hidden="1">T3Balanced!$G$3:$G$10</definedName>
    <definedName name="solver_lhs6" localSheetId="4" hidden="1">T3BAU!$G$3:$G$10</definedName>
    <definedName name="solver_lhs6" localSheetId="8" hidden="1">T3LowerCO2!$G$3:$G$10</definedName>
    <definedName name="solver_lhs6" localSheetId="7" hidden="1">T3LowerCost!$G$3:$G$10</definedName>
    <definedName name="solver_lhs6" localSheetId="9" hidden="1">T3LowestCO2!$G$3:$G$10</definedName>
    <definedName name="solver_lhs6" localSheetId="5" hidden="1">T3LowestCost!$A$3:$A$102</definedName>
    <definedName name="solver_lhs6" localSheetId="10" hidden="1">T3UnlimitedCap!$G$3:$G$10</definedName>
    <definedName name="solver_lhs7" localSheetId="0" hidden="1">T1Solution!$E$28</definedName>
    <definedName name="solver_lhs7" localSheetId="1" hidden="1">'T1Solution No Nut Cons'!$E$27</definedName>
    <definedName name="solver_lhs7" localSheetId="6" hidden="1">T3Balanced!$N$105</definedName>
    <definedName name="solver_lhs7" localSheetId="4" hidden="1">T3BAU!$O$105</definedName>
    <definedName name="solver_lhs7" localSheetId="8" hidden="1">T3LowerCO2!$N$105</definedName>
    <definedName name="solver_lhs7" localSheetId="7" hidden="1">T3LowerCost!$N$105</definedName>
    <definedName name="solver_lhs7" localSheetId="9" hidden="1">T3LowestCO2!$O$105</definedName>
    <definedName name="solver_lhs7" localSheetId="5" hidden="1">T3LowestCost!$G$3:$G$10</definedName>
    <definedName name="solver_lhs7" localSheetId="10" hidden="1">T3UnlimitedCap!$N$106</definedName>
    <definedName name="solver_lhs8" localSheetId="0" hidden="1">T1Solution!$E$30</definedName>
    <definedName name="solver_lhs8" localSheetId="6" hidden="1">T3Balanced!$N$106:$N$123</definedName>
    <definedName name="solver_lhs8" localSheetId="4" hidden="1">T3BAU!$O$106:$O$123</definedName>
    <definedName name="solver_lhs8" localSheetId="8" hidden="1">T3LowerCO2!$N$106:$N$123</definedName>
    <definedName name="solver_lhs8" localSheetId="7" hidden="1">T3LowerCost!$N$106:$N$123</definedName>
    <definedName name="solver_lhs8" localSheetId="9" hidden="1">T3LowestCO2!$O$106:$O$123</definedName>
    <definedName name="solver_lhs8" localSheetId="5" hidden="1">T3LowestCost!$O$105</definedName>
    <definedName name="solver_lhs8" localSheetId="10" hidden="1">T3UnlimitedCap!$N$107:$N$124</definedName>
    <definedName name="solver_lhs9" localSheetId="6" hidden="1">T3Balanced!$N$106:$N$123</definedName>
    <definedName name="solver_lhs9" localSheetId="4" hidden="1">T3BAU!$O$106:$O$123</definedName>
    <definedName name="solver_lhs9" localSheetId="8" hidden="1">T3LowerCO2!$N$106:$N$123</definedName>
    <definedName name="solver_lhs9" localSheetId="7" hidden="1">T3LowerCost!$N$106:$N$123</definedName>
    <definedName name="solver_lhs9" localSheetId="9" hidden="1">T3LowestCO2!$O$106:$O$123</definedName>
    <definedName name="solver_lhs9" localSheetId="5" hidden="1">T3LowestCost!$O$106:$O$123</definedName>
    <definedName name="solver_lhs9" localSheetId="10" hidden="1">T3UnlimitedCap!$N$107:$N$124</definedName>
    <definedName name="solver_mip" localSheetId="0" hidden="1">2147483647</definedName>
    <definedName name="solver_mip" localSheetId="1" hidden="1">2147483647</definedName>
    <definedName name="solver_mip" localSheetId="2" hidden="1">2147483647</definedName>
    <definedName name="solver_mip" localSheetId="6" hidden="1">2147483647</definedName>
    <definedName name="solver_mip" localSheetId="4" hidden="1">2147483647</definedName>
    <definedName name="solver_mip" localSheetId="8" hidden="1">2147483647</definedName>
    <definedName name="solver_mip" localSheetId="7" hidden="1">2147483647</definedName>
    <definedName name="solver_mip" localSheetId="9" hidden="1">2147483647</definedName>
    <definedName name="solver_mip" localSheetId="5" hidden="1">2147483647</definedName>
    <definedName name="solver_mip" localSheetId="10" hidden="1">2147483647</definedName>
    <definedName name="solver_mni" localSheetId="0" hidden="1">30</definedName>
    <definedName name="solver_mni" localSheetId="1" hidden="1">30</definedName>
    <definedName name="solver_mni" localSheetId="2" hidden="1">30</definedName>
    <definedName name="solver_mni" localSheetId="6" hidden="1">30</definedName>
    <definedName name="solver_mni" localSheetId="4" hidden="1">30</definedName>
    <definedName name="solver_mni" localSheetId="8" hidden="1">30</definedName>
    <definedName name="solver_mni" localSheetId="7" hidden="1">30</definedName>
    <definedName name="solver_mni" localSheetId="9" hidden="1">30</definedName>
    <definedName name="solver_mni" localSheetId="5" hidden="1">30</definedName>
    <definedName name="solver_mni" localSheetId="10" hidden="1">30</definedName>
    <definedName name="solver_mrt" localSheetId="0" hidden="1">0.075</definedName>
    <definedName name="solver_mrt" localSheetId="1" hidden="1">0.075</definedName>
    <definedName name="solver_mrt" localSheetId="2" hidden="1">0.075</definedName>
    <definedName name="solver_mrt" localSheetId="6" hidden="1">0.075</definedName>
    <definedName name="solver_mrt" localSheetId="4" hidden="1">0.075</definedName>
    <definedName name="solver_mrt" localSheetId="8" hidden="1">0.075</definedName>
    <definedName name="solver_mrt" localSheetId="7" hidden="1">0.075</definedName>
    <definedName name="solver_mrt" localSheetId="9" hidden="1">0.075</definedName>
    <definedName name="solver_mrt" localSheetId="5" hidden="1">0.075</definedName>
    <definedName name="solver_mrt" localSheetId="10" hidden="1">0.075</definedName>
    <definedName name="solver_msl" localSheetId="0" hidden="1">2</definedName>
    <definedName name="solver_msl" localSheetId="1" hidden="1">2</definedName>
    <definedName name="solver_msl" localSheetId="2" hidden="1">2</definedName>
    <definedName name="solver_msl" localSheetId="6" hidden="1">2</definedName>
    <definedName name="solver_msl" localSheetId="4" hidden="1">2</definedName>
    <definedName name="solver_msl" localSheetId="8" hidden="1">2</definedName>
    <definedName name="solver_msl" localSheetId="7" hidden="1">2</definedName>
    <definedName name="solver_msl" localSheetId="9" hidden="1">2</definedName>
    <definedName name="solver_msl" localSheetId="5" hidden="1">2</definedName>
    <definedName name="solver_msl" localSheetId="10" hidden="1">2</definedName>
    <definedName name="solver_neg" localSheetId="0" hidden="1">1</definedName>
    <definedName name="solver_neg" localSheetId="1" hidden="1">1</definedName>
    <definedName name="solver_neg" localSheetId="2" hidden="1">1</definedName>
    <definedName name="solver_neg" localSheetId="6" hidden="1">1</definedName>
    <definedName name="solver_neg" localSheetId="4" hidden="1">1</definedName>
    <definedName name="solver_neg" localSheetId="8" hidden="1">1</definedName>
    <definedName name="solver_neg" localSheetId="7" hidden="1">1</definedName>
    <definedName name="solver_neg" localSheetId="9" hidden="1">1</definedName>
    <definedName name="solver_neg" localSheetId="5" hidden="1">1</definedName>
    <definedName name="solver_neg" localSheetId="10" hidden="1">1</definedName>
    <definedName name="solver_nod" localSheetId="0" hidden="1">2147483647</definedName>
    <definedName name="solver_nod" localSheetId="1" hidden="1">2147483647</definedName>
    <definedName name="solver_nod" localSheetId="2" hidden="1">2147483647</definedName>
    <definedName name="solver_nod" localSheetId="6" hidden="1">2147483647</definedName>
    <definedName name="solver_nod" localSheetId="4" hidden="1">2147483647</definedName>
    <definedName name="solver_nod" localSheetId="8" hidden="1">2147483647</definedName>
    <definedName name="solver_nod" localSheetId="7" hidden="1">2147483647</definedName>
    <definedName name="solver_nod" localSheetId="9" hidden="1">2147483647</definedName>
    <definedName name="solver_nod" localSheetId="5" hidden="1">2147483647</definedName>
    <definedName name="solver_nod" localSheetId="10" hidden="1">2147483647</definedName>
    <definedName name="solver_num" localSheetId="0" hidden="1">8</definedName>
    <definedName name="solver_num" localSheetId="1" hidden="1">6</definedName>
    <definedName name="solver_num" localSheetId="2" hidden="1">3</definedName>
    <definedName name="solver_num" localSheetId="6" hidden="1">8</definedName>
    <definedName name="solver_num" localSheetId="4" hidden="1">8</definedName>
    <definedName name="solver_num" localSheetId="8" hidden="1">8</definedName>
    <definedName name="solver_num" localSheetId="7" hidden="1">8</definedName>
    <definedName name="solver_num" localSheetId="9" hidden="1">8</definedName>
    <definedName name="solver_num" localSheetId="5" hidden="1">9</definedName>
    <definedName name="solver_num" localSheetId="10" hidden="1">8</definedName>
    <definedName name="solver_nwt" localSheetId="0" hidden="1">1</definedName>
    <definedName name="solver_nwt" localSheetId="1" hidden="1">1</definedName>
    <definedName name="solver_nwt" localSheetId="2" hidden="1">1</definedName>
    <definedName name="solver_nwt" localSheetId="6" hidden="1">1</definedName>
    <definedName name="solver_nwt" localSheetId="4" hidden="1">1</definedName>
    <definedName name="solver_nwt" localSheetId="8" hidden="1">1</definedName>
    <definedName name="solver_nwt" localSheetId="7" hidden="1">1</definedName>
    <definedName name="solver_nwt" localSheetId="9" hidden="1">1</definedName>
    <definedName name="solver_nwt" localSheetId="5" hidden="1">1</definedName>
    <definedName name="solver_nwt" localSheetId="10" hidden="1">1</definedName>
    <definedName name="solver_opt" localSheetId="0" hidden="1">T1Solution!$F$19</definedName>
    <definedName name="solver_opt" localSheetId="1" hidden="1">'T1Solution No Nut Cons'!$F$18</definedName>
    <definedName name="solver_opt" localSheetId="2" hidden="1">T2Solution!$H$13</definedName>
    <definedName name="solver_opt" localSheetId="6" hidden="1">T3Balanced!$I$105</definedName>
    <definedName name="solver_opt" localSheetId="4" hidden="1">T3BAU!$H$105</definedName>
    <definedName name="solver_opt" localSheetId="8" hidden="1">T3LowerCO2!$I$105</definedName>
    <definedName name="solver_opt" localSheetId="7" hidden="1">T3LowerCost!$I$105</definedName>
    <definedName name="solver_opt" localSheetId="9" hidden="1">T3LowestCO2!$H$105</definedName>
    <definedName name="solver_opt" localSheetId="5" hidden="1">T3LowestCost!$G$105</definedName>
    <definedName name="solver_opt" localSheetId="10" hidden="1">T3UnlimitedCap!$I$105</definedName>
    <definedName name="solver_pre" localSheetId="0" hidden="1">0.000001</definedName>
    <definedName name="solver_pre" localSheetId="1" hidden="1">0.000001</definedName>
    <definedName name="solver_pre" localSheetId="2" hidden="1">0.000001</definedName>
    <definedName name="solver_pre" localSheetId="6" hidden="1">0.000001</definedName>
    <definedName name="solver_pre" localSheetId="4" hidden="1">0.000001</definedName>
    <definedName name="solver_pre" localSheetId="8" hidden="1">0.000001</definedName>
    <definedName name="solver_pre" localSheetId="7" hidden="1">0.000001</definedName>
    <definedName name="solver_pre" localSheetId="9" hidden="1">0.000001</definedName>
    <definedName name="solver_pre" localSheetId="5" hidden="1">0.000001</definedName>
    <definedName name="solver_pre" localSheetId="10" hidden="1">0.000001</definedName>
    <definedName name="solver_rbv" localSheetId="0" hidden="1">1</definedName>
    <definedName name="solver_rbv" localSheetId="1" hidden="1">1</definedName>
    <definedName name="solver_rbv" localSheetId="2" hidden="1">1</definedName>
    <definedName name="solver_rbv" localSheetId="6" hidden="1">2</definedName>
    <definedName name="solver_rbv" localSheetId="4" hidden="1">2</definedName>
    <definedName name="solver_rbv" localSheetId="8" hidden="1">2</definedName>
    <definedName name="solver_rbv" localSheetId="7" hidden="1">2</definedName>
    <definedName name="solver_rbv" localSheetId="9" hidden="1">2</definedName>
    <definedName name="solver_rbv" localSheetId="5" hidden="1">2</definedName>
    <definedName name="solver_rbv" localSheetId="10" hidden="1">2</definedName>
    <definedName name="solver_rel1" localSheetId="0" hidden="1">3</definedName>
    <definedName name="solver_rel1" localSheetId="1" hidden="1">1</definedName>
    <definedName name="solver_rel1" localSheetId="2" hidden="1">4</definedName>
    <definedName name="solver_rel1" localSheetId="6" hidden="1">3</definedName>
    <definedName name="solver_rel1" localSheetId="4" hidden="1">3</definedName>
    <definedName name="solver_rel1" localSheetId="8" hidden="1">3</definedName>
    <definedName name="solver_rel1" localSheetId="7" hidden="1">3</definedName>
    <definedName name="solver_rel1" localSheetId="9" hidden="1">3</definedName>
    <definedName name="solver_rel1" localSheetId="5" hidden="1">3</definedName>
    <definedName name="solver_rel1" localSheetId="10" hidden="1">3</definedName>
    <definedName name="solver_rel2" localSheetId="0" hidden="1">1</definedName>
    <definedName name="solver_rel2" localSheetId="1" hidden="1">1</definedName>
    <definedName name="solver_rel2" localSheetId="2" hidden="1">3</definedName>
    <definedName name="solver_rel2" localSheetId="6" hidden="1">1</definedName>
    <definedName name="solver_rel2" localSheetId="4" hidden="1">1</definedName>
    <definedName name="solver_rel2" localSheetId="8" hidden="1">1</definedName>
    <definedName name="solver_rel2" localSheetId="7" hidden="1">1</definedName>
    <definedName name="solver_rel2" localSheetId="9" hidden="1">1</definedName>
    <definedName name="solver_rel2" localSheetId="5" hidden="1">1</definedName>
    <definedName name="solver_rel2" localSheetId="10" hidden="1">1</definedName>
    <definedName name="solver_rel3" localSheetId="0" hidden="1">1</definedName>
    <definedName name="solver_rel3" localSheetId="1" hidden="1">3</definedName>
    <definedName name="solver_rel3" localSheetId="2" hidden="1">3</definedName>
    <definedName name="solver_rel3" localSheetId="6" hidden="1">1</definedName>
    <definedName name="solver_rel3" localSheetId="4" hidden="1">1</definedName>
    <definedName name="solver_rel3" localSheetId="8" hidden="1">1</definedName>
    <definedName name="solver_rel3" localSheetId="7" hidden="1">1</definedName>
    <definedName name="solver_rel3" localSheetId="9" hidden="1">1</definedName>
    <definedName name="solver_rel3" localSheetId="5" hidden="1">1</definedName>
    <definedName name="solver_rel3" localSheetId="10" hidden="1">1</definedName>
    <definedName name="solver_rel4" localSheetId="0" hidden="1">3</definedName>
    <definedName name="solver_rel4" localSheetId="1" hidden="1">1</definedName>
    <definedName name="solver_rel4" localSheetId="6" hidden="1">3</definedName>
    <definedName name="solver_rel4" localSheetId="4" hidden="1">3</definedName>
    <definedName name="solver_rel4" localSheetId="8" hidden="1">3</definedName>
    <definedName name="solver_rel4" localSheetId="7" hidden="1">3</definedName>
    <definedName name="solver_rel4" localSheetId="9" hidden="1">3</definedName>
    <definedName name="solver_rel4" localSheetId="5" hidden="1">3</definedName>
    <definedName name="solver_rel4" localSheetId="10" hidden="1">3</definedName>
    <definedName name="solver_rel5" localSheetId="0" hidden="1">1</definedName>
    <definedName name="solver_rel5" localSheetId="1" hidden="1">1</definedName>
    <definedName name="solver_rel5" localSheetId="6" hidden="1">4</definedName>
    <definedName name="solver_rel5" localSheetId="4" hidden="1">4</definedName>
    <definedName name="solver_rel5" localSheetId="8" hidden="1">4</definedName>
    <definedName name="solver_rel5" localSheetId="7" hidden="1">4</definedName>
    <definedName name="solver_rel5" localSheetId="9" hidden="1">4</definedName>
    <definedName name="solver_rel5" localSheetId="5" hidden="1">4</definedName>
    <definedName name="solver_rel5" localSheetId="10" hidden="1">4</definedName>
    <definedName name="solver_rel6" localSheetId="0" hidden="1">1</definedName>
    <definedName name="solver_rel6" localSheetId="1" hidden="1">3</definedName>
    <definedName name="solver_rel6" localSheetId="6" hidden="1">5</definedName>
    <definedName name="solver_rel6" localSheetId="4" hidden="1">5</definedName>
    <definedName name="solver_rel6" localSheetId="8" hidden="1">5</definedName>
    <definedName name="solver_rel6" localSheetId="7" hidden="1">5</definedName>
    <definedName name="solver_rel6" localSheetId="9" hidden="1">5</definedName>
    <definedName name="solver_rel6" localSheetId="5" hidden="1">3</definedName>
    <definedName name="solver_rel6" localSheetId="10" hidden="1">5</definedName>
    <definedName name="solver_rel7" localSheetId="0" hidden="1">3</definedName>
    <definedName name="solver_rel7" localSheetId="1" hidden="1">3</definedName>
    <definedName name="solver_rel7" localSheetId="6" hidden="1">2</definedName>
    <definedName name="solver_rel7" localSheetId="4" hidden="1">2</definedName>
    <definedName name="solver_rel7" localSheetId="8" hidden="1">2</definedName>
    <definedName name="solver_rel7" localSheetId="7" hidden="1">2</definedName>
    <definedName name="solver_rel7" localSheetId="9" hidden="1">2</definedName>
    <definedName name="solver_rel7" localSheetId="5" hidden="1">5</definedName>
    <definedName name="solver_rel7" localSheetId="10" hidden="1">2</definedName>
    <definedName name="solver_rel8" localSheetId="0" hidden="1">3</definedName>
    <definedName name="solver_rel8" localSheetId="6" hidden="1">2</definedName>
    <definedName name="solver_rel8" localSheetId="4" hidden="1">2</definedName>
    <definedName name="solver_rel8" localSheetId="8" hidden="1">2</definedName>
    <definedName name="solver_rel8" localSheetId="7" hidden="1">2</definedName>
    <definedName name="solver_rel8" localSheetId="9" hidden="1">2</definedName>
    <definedName name="solver_rel8" localSheetId="5" hidden="1">2</definedName>
    <definedName name="solver_rel8" localSheetId="10" hidden="1">2</definedName>
    <definedName name="solver_rel9" localSheetId="6" hidden="1">2</definedName>
    <definedName name="solver_rel9" localSheetId="4" hidden="1">2</definedName>
    <definedName name="solver_rel9" localSheetId="8" hidden="1">2</definedName>
    <definedName name="solver_rel9" localSheetId="7" hidden="1">2</definedName>
    <definedName name="solver_rel9" localSheetId="9" hidden="1">2</definedName>
    <definedName name="solver_rel9" localSheetId="5" hidden="1">2</definedName>
    <definedName name="solver_rel9" localSheetId="10" hidden="1">2</definedName>
    <definedName name="solver_rhs1" localSheetId="0" hidden="1">0</definedName>
    <definedName name="solver_rhs1" localSheetId="1" hidden="1">'T1Solution No Nut Cons'!$F$21</definedName>
    <definedName name="solver_rhs1" localSheetId="2" hidden="1">"integer"</definedName>
    <definedName name="solver_rhs1" localSheetId="6" hidden="1">T3Balanced!$I$3</definedName>
    <definedName name="solver_rhs1" localSheetId="4" hidden="1">T3BAU!$I$3</definedName>
    <definedName name="solver_rhs1" localSheetId="8" hidden="1">T3LowerCO2!$I$3</definedName>
    <definedName name="solver_rhs1" localSheetId="7" hidden="1">T3LowerCost!$I$3</definedName>
    <definedName name="solver_rhs1" localSheetId="9" hidden="1">T3LowestCO2!$I$3</definedName>
    <definedName name="solver_rhs1" localSheetId="5" hidden="1">T3LowestCost!$I$3</definedName>
    <definedName name="solver_rhs1" localSheetId="10" hidden="1">T3UnlimitedCap!$I$3</definedName>
    <definedName name="solver_rhs2" localSheetId="0" hidden="1">T1Solution!$F$22</definedName>
    <definedName name="solver_rhs2" localSheetId="1" hidden="1">'T1Solution No Nut Cons'!$F$22</definedName>
    <definedName name="solver_rhs2" localSheetId="2" hidden="1">1</definedName>
    <definedName name="solver_rhs2" localSheetId="6" hidden="1">T3Balanced!$J$3:$J$10</definedName>
    <definedName name="solver_rhs2" localSheetId="4" hidden="1">T3BAU!$J$3:$J$10</definedName>
    <definedName name="solver_rhs2" localSheetId="8" hidden="1">T3LowerCO2!$J$3:$J$10</definedName>
    <definedName name="solver_rhs2" localSheetId="7" hidden="1">T3LowerCost!$J$3:$J$10</definedName>
    <definedName name="solver_rhs2" localSheetId="9" hidden="1">T3LowestCO2!$J$3:$J$10</definedName>
    <definedName name="solver_rhs2" localSheetId="5" hidden="1">T3LowestCost!$J$3:$J$10</definedName>
    <definedName name="solver_rhs2" localSheetId="10" hidden="1">T3UnlimitedCap!$J$3:$J$10</definedName>
    <definedName name="solver_rhs3" localSheetId="0" hidden="1">T1Solution!$F$23</definedName>
    <definedName name="solver_rhs3" localSheetId="1" hidden="1">'T1Solution No Nut Cons'!$F$24</definedName>
    <definedName name="solver_rhs3" localSheetId="2" hidden="1">T2Solution!$L$3:$L$9</definedName>
    <definedName name="solver_rhs3" localSheetId="6" hidden="1">T3Balanced!$L$3:$L$10</definedName>
    <definedName name="solver_rhs3" localSheetId="4" hidden="1">T3BAU!$L$3:$L$10</definedName>
    <definedName name="solver_rhs3" localSheetId="8" hidden="1">T3LowerCO2!$L$3:$L$10</definedName>
    <definedName name="solver_rhs3" localSheetId="7" hidden="1">T3LowerCost!$L$3:$L$10</definedName>
    <definedName name="solver_rhs3" localSheetId="9" hidden="1">T3LowestCO2!$L$3:$L$10</definedName>
    <definedName name="solver_rhs3" localSheetId="5" hidden="1">T3LowestCost!$L$3:$L$10</definedName>
    <definedName name="solver_rhs3" localSheetId="10" hidden="1">T3UnlimitedCap!$L$3:$L$10</definedName>
    <definedName name="solver_rhs4" localSheetId="0" hidden="1">T1Solution!$F$25</definedName>
    <definedName name="solver_rhs4" localSheetId="1" hidden="1">'T1Solution No Nut Cons'!$F$25</definedName>
    <definedName name="solver_rhs4" localSheetId="6" hidden="1">T3Balanced!$K$3:$K$10</definedName>
    <definedName name="solver_rhs4" localSheetId="4" hidden="1">T3BAU!$K$3:$K$10</definedName>
    <definedName name="solver_rhs4" localSheetId="8" hidden="1">T3LowerCO2!$K$3:$K$10</definedName>
    <definedName name="solver_rhs4" localSheetId="7" hidden="1">T3LowerCost!$K$3:$K$10</definedName>
    <definedName name="solver_rhs4" localSheetId="9" hidden="1">T3LowestCO2!$K$3:$K$10</definedName>
    <definedName name="solver_rhs4" localSheetId="5" hidden="1">T3LowestCost!$K$3:$K$10</definedName>
    <definedName name="solver_rhs4" localSheetId="10" hidden="1">T3UnlimitedCap!$K$3:$K$10</definedName>
    <definedName name="solver_rhs5" localSheetId="0" hidden="1">T1Solution!$F$26</definedName>
    <definedName name="solver_rhs5" localSheetId="1" hidden="1">'T1Solution No Nut Cons'!$G$27</definedName>
    <definedName name="solver_rhs5" localSheetId="6" hidden="1">"integer"</definedName>
    <definedName name="solver_rhs5" localSheetId="4" hidden="1">"integer"</definedName>
    <definedName name="solver_rhs5" localSheetId="8" hidden="1">"integer"</definedName>
    <definedName name="solver_rhs5" localSheetId="7" hidden="1">"integer"</definedName>
    <definedName name="solver_rhs5" localSheetId="9" hidden="1">"integer"</definedName>
    <definedName name="solver_rhs5" localSheetId="5" hidden="1">"integer"</definedName>
    <definedName name="solver_rhs5" localSheetId="10" hidden="1">"integer"</definedName>
    <definedName name="solver_rhs6" localSheetId="0" hidden="1">T1Solution!$G$28</definedName>
    <definedName name="solver_rhs6" localSheetId="1" hidden="1">'T1Solution No Nut Cons'!$F$27</definedName>
    <definedName name="solver_rhs6" localSheetId="6" hidden="1">"binary"</definedName>
    <definedName name="solver_rhs6" localSheetId="4" hidden="1">"binary"</definedName>
    <definedName name="solver_rhs6" localSheetId="8" hidden="1">"binary"</definedName>
    <definedName name="solver_rhs6" localSheetId="7" hidden="1">"binary"</definedName>
    <definedName name="solver_rhs6" localSheetId="9" hidden="1">"binary"</definedName>
    <definedName name="solver_rhs6" localSheetId="5" hidden="1">0</definedName>
    <definedName name="solver_rhs6" localSheetId="10" hidden="1">"binary"</definedName>
    <definedName name="solver_rhs7" localSheetId="0" hidden="1">T1Solution!$F$28</definedName>
    <definedName name="solver_rhs7" localSheetId="1" hidden="1">'T1Solution No Nut Cons'!$F$27</definedName>
    <definedName name="solver_rhs7" localSheetId="6" hidden="1">T3Balanced!$O$105</definedName>
    <definedName name="solver_rhs7" localSheetId="4" hidden="1">T3BAU!$P$105</definedName>
    <definedName name="solver_rhs7" localSheetId="8" hidden="1">T3LowerCO2!$O$105</definedName>
    <definedName name="solver_rhs7" localSheetId="7" hidden="1">T3LowerCost!$O$105</definedName>
    <definedName name="solver_rhs7" localSheetId="9" hidden="1">T3LowestCO2!$P$105</definedName>
    <definedName name="solver_rhs7" localSheetId="5" hidden="1">"binary"</definedName>
    <definedName name="solver_rhs7" localSheetId="10" hidden="1">T3UnlimitedCap!$O$106</definedName>
    <definedName name="solver_rhs8" localSheetId="0" hidden="1">T1Solution!$F$30</definedName>
    <definedName name="solver_rhs8" localSheetId="6" hidden="1">T3Balanced!$O$106:$O$123</definedName>
    <definedName name="solver_rhs8" localSheetId="4" hidden="1">T3BAU!$P$106:$P$123</definedName>
    <definedName name="solver_rhs8" localSheetId="8" hidden="1">T3LowerCO2!$O$106:$O$123</definedName>
    <definedName name="solver_rhs8" localSheetId="7" hidden="1">T3LowerCost!$O$106:$O$123</definedName>
    <definedName name="solver_rhs8" localSheetId="9" hidden="1">T3LowestCO2!$P$106:$P$123</definedName>
    <definedName name="solver_rhs8" localSheetId="5" hidden="1">T3LowestCost!$P$105</definedName>
    <definedName name="solver_rhs8" localSheetId="10" hidden="1">T3UnlimitedCap!$O$107:$O$124</definedName>
    <definedName name="solver_rhs9" localSheetId="6" hidden="1">T3Balanced!$O$106:$O$123</definedName>
    <definedName name="solver_rhs9" localSheetId="4" hidden="1">T3BAU!$P$106:$P$123</definedName>
    <definedName name="solver_rhs9" localSheetId="8" hidden="1">T3LowerCO2!$O$106:$O$123</definedName>
    <definedName name="solver_rhs9" localSheetId="7" hidden="1">T3LowerCost!$O$106:$O$123</definedName>
    <definedName name="solver_rhs9" localSheetId="9" hidden="1">T3LowestCO2!$P$106:$P$123</definedName>
    <definedName name="solver_rhs9" localSheetId="5" hidden="1">T3LowestCost!$P$106:$P$123</definedName>
    <definedName name="solver_rhs9" localSheetId="10" hidden="1">T3UnlimitedCap!$O$107:$O$124</definedName>
    <definedName name="solver_rlx" localSheetId="0" hidden="1">2</definedName>
    <definedName name="solver_rlx" localSheetId="1" hidden="1">2</definedName>
    <definedName name="solver_rlx" localSheetId="2" hidden="1">2</definedName>
    <definedName name="solver_rlx" localSheetId="6" hidden="1">2</definedName>
    <definedName name="solver_rlx" localSheetId="4" hidden="1">2</definedName>
    <definedName name="solver_rlx" localSheetId="8" hidden="1">2</definedName>
    <definedName name="solver_rlx" localSheetId="7" hidden="1">2</definedName>
    <definedName name="solver_rlx" localSheetId="9" hidden="1">2</definedName>
    <definedName name="solver_rlx" localSheetId="5" hidden="1">2</definedName>
    <definedName name="solver_rlx" localSheetId="10" hidden="1">2</definedName>
    <definedName name="solver_rsd" localSheetId="0" hidden="1">0</definedName>
    <definedName name="solver_rsd" localSheetId="1" hidden="1">0</definedName>
    <definedName name="solver_rsd" localSheetId="2" hidden="1">0</definedName>
    <definedName name="solver_rsd" localSheetId="6" hidden="1">0</definedName>
    <definedName name="solver_rsd" localSheetId="4" hidden="1">0</definedName>
    <definedName name="solver_rsd" localSheetId="8" hidden="1">0</definedName>
    <definedName name="solver_rsd" localSheetId="7" hidden="1">0</definedName>
    <definedName name="solver_rsd" localSheetId="9" hidden="1">0</definedName>
    <definedName name="solver_rsd" localSheetId="5" hidden="1">0</definedName>
    <definedName name="solver_rsd" localSheetId="10" hidden="1">0</definedName>
    <definedName name="solver_scl" localSheetId="0" hidden="1">1</definedName>
    <definedName name="solver_scl" localSheetId="1" hidden="1">1</definedName>
    <definedName name="solver_scl" localSheetId="2" hidden="1">1</definedName>
    <definedName name="solver_scl" localSheetId="6" hidden="1">2</definedName>
    <definedName name="solver_scl" localSheetId="4" hidden="1">2</definedName>
    <definedName name="solver_scl" localSheetId="8" hidden="1">2</definedName>
    <definedName name="solver_scl" localSheetId="7" hidden="1">2</definedName>
    <definedName name="solver_scl" localSheetId="9" hidden="1">2</definedName>
    <definedName name="solver_scl" localSheetId="5" hidden="1">2</definedName>
    <definedName name="solver_scl" localSheetId="10" hidden="1">2</definedName>
    <definedName name="solver_sho" localSheetId="0" hidden="1">2</definedName>
    <definedName name="solver_sho" localSheetId="1" hidden="1">2</definedName>
    <definedName name="solver_sho" localSheetId="2" hidden="1">2</definedName>
    <definedName name="solver_sho" localSheetId="6" hidden="1">2</definedName>
    <definedName name="solver_sho" localSheetId="4" hidden="1">2</definedName>
    <definedName name="solver_sho" localSheetId="8" hidden="1">2</definedName>
    <definedName name="solver_sho" localSheetId="7" hidden="1">2</definedName>
    <definedName name="solver_sho" localSheetId="9" hidden="1">2</definedName>
    <definedName name="solver_sho" localSheetId="5" hidden="1">2</definedName>
    <definedName name="solver_sho" localSheetId="10" hidden="1">2</definedName>
    <definedName name="solver_ssz" localSheetId="0" hidden="1">100</definedName>
    <definedName name="solver_ssz" localSheetId="1" hidden="1">100</definedName>
    <definedName name="solver_ssz" localSheetId="2" hidden="1">100</definedName>
    <definedName name="solver_ssz" localSheetId="6" hidden="1">100</definedName>
    <definedName name="solver_ssz" localSheetId="4" hidden="1">100</definedName>
    <definedName name="solver_ssz" localSheetId="8" hidden="1">100</definedName>
    <definedName name="solver_ssz" localSheetId="7" hidden="1">100</definedName>
    <definedName name="solver_ssz" localSheetId="9" hidden="1">100</definedName>
    <definedName name="solver_ssz" localSheetId="5" hidden="1">100</definedName>
    <definedName name="solver_ssz" localSheetId="10" hidden="1">100</definedName>
    <definedName name="solver_tim" localSheetId="0" hidden="1">2147483647</definedName>
    <definedName name="solver_tim" localSheetId="1" hidden="1">2147483647</definedName>
    <definedName name="solver_tim" localSheetId="2" hidden="1">2147483647</definedName>
    <definedName name="solver_tim" localSheetId="6" hidden="1">30</definedName>
    <definedName name="solver_tim" localSheetId="4" hidden="1">30</definedName>
    <definedName name="solver_tim" localSheetId="8" hidden="1">30</definedName>
    <definedName name="solver_tim" localSheetId="7" hidden="1">30</definedName>
    <definedName name="solver_tim" localSheetId="9" hidden="1">30</definedName>
    <definedName name="solver_tim" localSheetId="5" hidden="1">30</definedName>
    <definedName name="solver_tim" localSheetId="10" hidden="1">30</definedName>
    <definedName name="solver_tol" localSheetId="0" hidden="1">0.01</definedName>
    <definedName name="solver_tol" localSheetId="1" hidden="1">0.01</definedName>
    <definedName name="solver_tol" localSheetId="2" hidden="1">0</definedName>
    <definedName name="solver_tol" localSheetId="6" hidden="1">0.01</definedName>
    <definedName name="solver_tol" localSheetId="4" hidden="1">0.01</definedName>
    <definedName name="solver_tol" localSheetId="8" hidden="1">0.01</definedName>
    <definedName name="solver_tol" localSheetId="7" hidden="1">0.01</definedName>
    <definedName name="solver_tol" localSheetId="9" hidden="1">0.01</definedName>
    <definedName name="solver_tol" localSheetId="5" hidden="1">0.01</definedName>
    <definedName name="solver_tol" localSheetId="10" hidden="1">0.01</definedName>
    <definedName name="solver_typ" localSheetId="0" hidden="1">2</definedName>
    <definedName name="solver_typ" localSheetId="1" hidden="1">2</definedName>
    <definedName name="solver_typ" localSheetId="2" hidden="1">2</definedName>
    <definedName name="solver_typ" localSheetId="6" hidden="1">2</definedName>
    <definedName name="solver_typ" localSheetId="4" hidden="1">2</definedName>
    <definedName name="solver_typ" localSheetId="8" hidden="1">2</definedName>
    <definedName name="solver_typ" localSheetId="7" hidden="1">2</definedName>
    <definedName name="solver_typ" localSheetId="9" hidden="1">2</definedName>
    <definedName name="solver_typ" localSheetId="5" hidden="1">2</definedName>
    <definedName name="solver_typ" localSheetId="10" hidden="1">2</definedName>
    <definedName name="solver_val" localSheetId="0" hidden="1">0</definedName>
    <definedName name="solver_val" localSheetId="1" hidden="1">0</definedName>
    <definedName name="solver_val" localSheetId="2" hidden="1">0</definedName>
    <definedName name="solver_val" localSheetId="6" hidden="1">0</definedName>
    <definedName name="solver_val" localSheetId="4" hidden="1">0</definedName>
    <definedName name="solver_val" localSheetId="8" hidden="1">0</definedName>
    <definedName name="solver_val" localSheetId="7" hidden="1">0</definedName>
    <definedName name="solver_val" localSheetId="9" hidden="1">0</definedName>
    <definedName name="solver_val" localSheetId="5" hidden="1">0</definedName>
    <definedName name="solver_val" localSheetId="10" hidden="1">0</definedName>
    <definedName name="solver_ver" localSheetId="0" hidden="1">3</definedName>
    <definedName name="solver_ver" localSheetId="1" hidden="1">3</definedName>
    <definedName name="solver_ver" localSheetId="2" hidden="1">3</definedName>
    <definedName name="solver_ver" localSheetId="6" hidden="1">3</definedName>
    <definedName name="solver_ver" localSheetId="4" hidden="1">3</definedName>
    <definedName name="solver_ver" localSheetId="8" hidden="1">3</definedName>
    <definedName name="solver_ver" localSheetId="7" hidden="1">3</definedName>
    <definedName name="solver_ver" localSheetId="9" hidden="1">3</definedName>
    <definedName name="solver_ver" localSheetId="5" hidden="1">3</definedName>
    <definedName name="solver_ver" localSheetId="10" hidden="1">3</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nge" name="Range" connection="WorksheetConnection_Data!$C$2:$C$19"/>
          <x15:modelTable id="Range 1" name="Range 1" connection="WorksheetConnection_Tableau!$A$1:$F$19"/>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4" i="28" l="1" a="1"/>
  <c r="K14" i="28" s="1"/>
  <c r="H13" i="28"/>
  <c r="K12" i="28" a="1"/>
  <c r="K12" i="28" s="1"/>
  <c r="K9" i="28"/>
  <c r="K8" i="28"/>
  <c r="K7" i="28"/>
  <c r="K6" i="28"/>
  <c r="K5" i="28"/>
  <c r="K4" i="28"/>
  <c r="K3" i="28"/>
  <c r="K13" i="28" s="1" a="1"/>
  <c r="K13" i="28" s="1"/>
  <c r="E27" i="27"/>
  <c r="E25" i="27"/>
  <c r="E24" i="27"/>
  <c r="E22" i="27"/>
  <c r="E21" i="27"/>
  <c r="F18" i="27"/>
  <c r="F19" i="25"/>
  <c r="E22" i="25"/>
  <c r="E23" i="25"/>
  <c r="E25" i="25"/>
  <c r="I25" i="25"/>
  <c r="E26" i="25"/>
  <c r="I26" i="25"/>
  <c r="E28" i="25"/>
  <c r="E30" i="25"/>
  <c r="G107" i="23"/>
  <c r="N5" i="24"/>
  <c r="N4" i="24"/>
  <c r="L6" i="24"/>
  <c r="L4" i="24"/>
  <c r="J6" i="24"/>
  <c r="J4" i="24"/>
  <c r="F8" i="24"/>
  <c r="F7" i="24"/>
  <c r="F6" i="24"/>
  <c r="F5" i="24"/>
  <c r="F4" i="24"/>
  <c r="F3" i="24"/>
  <c r="D8" i="24"/>
  <c r="D7" i="24"/>
  <c r="D6" i="24"/>
  <c r="D5" i="24"/>
  <c r="D4" i="24"/>
  <c r="D3" i="24"/>
  <c r="E8" i="24"/>
  <c r="E7" i="24"/>
  <c r="E6" i="24"/>
  <c r="E5" i="24"/>
  <c r="E4" i="24"/>
  <c r="E3" i="24"/>
  <c r="G8" i="24"/>
  <c r="G7" i="24"/>
  <c r="G6" i="24"/>
  <c r="G5" i="24"/>
  <c r="G4" i="24"/>
  <c r="G3" i="24"/>
  <c r="C8" i="24"/>
  <c r="C7" i="24"/>
  <c r="C6" i="24"/>
  <c r="C5" i="24"/>
  <c r="C4" i="24"/>
  <c r="C3" i="24"/>
  <c r="B8" i="24"/>
  <c r="B7" i="24"/>
  <c r="B6" i="24"/>
  <c r="B5" i="24"/>
  <c r="B4" i="24"/>
  <c r="B3" i="24"/>
  <c r="N119" i="23" l="1"/>
  <c r="N116" i="23"/>
  <c r="N115" i="23"/>
  <c r="N114" i="23"/>
  <c r="J10" i="23"/>
  <c r="F10" i="23"/>
  <c r="E10" i="23"/>
  <c r="C10" i="23"/>
  <c r="J9" i="23"/>
  <c r="F9" i="23"/>
  <c r="E9" i="23"/>
  <c r="G105" i="23" s="1"/>
  <c r="C9" i="23"/>
  <c r="J8" i="23"/>
  <c r="F8" i="23"/>
  <c r="H105" i="23" s="1"/>
  <c r="E8" i="23"/>
  <c r="C8" i="23"/>
  <c r="J7" i="23"/>
  <c r="F7" i="23"/>
  <c r="E7" i="23"/>
  <c r="C7" i="23"/>
  <c r="J6" i="23"/>
  <c r="F6" i="23"/>
  <c r="E6" i="23"/>
  <c r="C6" i="23"/>
  <c r="N108" i="23"/>
  <c r="J5" i="23"/>
  <c r="F5" i="23"/>
  <c r="E5" i="23"/>
  <c r="C5" i="23"/>
  <c r="O107" i="23" a="1"/>
  <c r="O107" i="23" s="1"/>
  <c r="O106" i="23" s="1"/>
  <c r="M107" i="23" a="1"/>
  <c r="N113" i="23" s="1"/>
  <c r="J4" i="23"/>
  <c r="F4" i="23"/>
  <c r="E4" i="23"/>
  <c r="C4" i="23"/>
  <c r="N106" i="23"/>
  <c r="J3" i="23"/>
  <c r="I3" i="23" a="1"/>
  <c r="K10" i="23" s="1"/>
  <c r="F3" i="23"/>
  <c r="E3" i="23"/>
  <c r="C3" i="23"/>
  <c r="N117" i="22"/>
  <c r="N116" i="22"/>
  <c r="N115" i="22"/>
  <c r="J10" i="22"/>
  <c r="F10" i="22"/>
  <c r="E10" i="22"/>
  <c r="C10" i="22"/>
  <c r="J9" i="22"/>
  <c r="F9" i="22"/>
  <c r="E9" i="22"/>
  <c r="C9" i="22"/>
  <c r="N110" i="22"/>
  <c r="J8" i="22"/>
  <c r="F8" i="22"/>
  <c r="E8" i="22"/>
  <c r="C8" i="22"/>
  <c r="J7" i="22"/>
  <c r="F7" i="22"/>
  <c r="E7" i="22"/>
  <c r="C7" i="22"/>
  <c r="J6" i="22"/>
  <c r="F6" i="22"/>
  <c r="E6" i="22"/>
  <c r="C6" i="22"/>
  <c r="J5" i="22"/>
  <c r="F5" i="22"/>
  <c r="E5" i="22"/>
  <c r="C5" i="22"/>
  <c r="O106" i="22"/>
  <c r="O105" i="22" s="1"/>
  <c r="O106" i="22" a="1"/>
  <c r="M106" i="22"/>
  <c r="N106" i="22" s="1"/>
  <c r="M106" i="22" a="1"/>
  <c r="N113" i="22" s="1"/>
  <c r="J4" i="22"/>
  <c r="F4" i="22"/>
  <c r="H105" i="22" s="1"/>
  <c r="E4" i="22"/>
  <c r="C4" i="22"/>
  <c r="N105" i="22" s="1"/>
  <c r="L3" i="22"/>
  <c r="L3" i="22" a="1"/>
  <c r="J3" i="22"/>
  <c r="I3" i="22" a="1"/>
  <c r="K5" i="22" s="1"/>
  <c r="F3" i="22"/>
  <c r="E3" i="22"/>
  <c r="G105" i="22" s="1"/>
  <c r="C3" i="22"/>
  <c r="J105" i="21"/>
  <c r="N119" i="21"/>
  <c r="N116" i="21"/>
  <c r="N115" i="21"/>
  <c r="N114" i="21"/>
  <c r="J10" i="21"/>
  <c r="F10" i="21"/>
  <c r="E10" i="21"/>
  <c r="C10" i="21"/>
  <c r="J9" i="21"/>
  <c r="F9" i="21"/>
  <c r="H105" i="21" s="1"/>
  <c r="H106" i="21" s="1"/>
  <c r="E9" i="21"/>
  <c r="C9" i="21"/>
  <c r="N110" i="21"/>
  <c r="J8" i="21"/>
  <c r="F8" i="21"/>
  <c r="E8" i="21"/>
  <c r="C8" i="21"/>
  <c r="N109" i="21"/>
  <c r="J7" i="21"/>
  <c r="F7" i="21"/>
  <c r="E7" i="21"/>
  <c r="C7" i="21"/>
  <c r="J6" i="21"/>
  <c r="F6" i="21"/>
  <c r="E6" i="21"/>
  <c r="C6" i="21"/>
  <c r="N107" i="21"/>
  <c r="J5" i="21"/>
  <c r="F5" i="21"/>
  <c r="E5" i="21"/>
  <c r="C5" i="21"/>
  <c r="O106" i="21"/>
  <c r="O106" i="21" a="1"/>
  <c r="M106" i="21" a="1"/>
  <c r="N112" i="21" s="1"/>
  <c r="J4" i="21"/>
  <c r="F4" i="21"/>
  <c r="E4" i="21"/>
  <c r="G105" i="21" s="1"/>
  <c r="C4" i="21"/>
  <c r="O105" i="21"/>
  <c r="N105" i="21"/>
  <c r="L3" i="21" a="1"/>
  <c r="L3" i="21" s="1"/>
  <c r="J3" i="21"/>
  <c r="I3" i="21" a="1"/>
  <c r="K10" i="21" s="1"/>
  <c r="F3" i="21"/>
  <c r="E3" i="21"/>
  <c r="C3" i="21"/>
  <c r="N114" i="19"/>
  <c r="N113" i="19"/>
  <c r="J10" i="19"/>
  <c r="F10" i="19"/>
  <c r="E10" i="19"/>
  <c r="C10" i="19"/>
  <c r="J9" i="19"/>
  <c r="F9" i="19"/>
  <c r="E9" i="19"/>
  <c r="C9" i="19"/>
  <c r="J8" i="19"/>
  <c r="F8" i="19"/>
  <c r="E8" i="19"/>
  <c r="C8" i="19"/>
  <c r="J7" i="19"/>
  <c r="F7" i="19"/>
  <c r="E7" i="19"/>
  <c r="C7" i="19"/>
  <c r="J6" i="19"/>
  <c r="F6" i="19"/>
  <c r="E6" i="19"/>
  <c r="C6" i="19"/>
  <c r="N107" i="19"/>
  <c r="J5" i="19"/>
  <c r="F5" i="19"/>
  <c r="E5" i="19"/>
  <c r="C5" i="19"/>
  <c r="O106" i="19"/>
  <c r="O106" i="19" a="1"/>
  <c r="M106" i="19" a="1"/>
  <c r="N112" i="19" s="1"/>
  <c r="J4" i="19"/>
  <c r="F4" i="19"/>
  <c r="H105" i="19" s="1"/>
  <c r="E4" i="19"/>
  <c r="G105" i="19" s="1"/>
  <c r="C4" i="19"/>
  <c r="O105" i="19"/>
  <c r="N105" i="19"/>
  <c r="L3" i="19" a="1"/>
  <c r="L3" i="19" s="1"/>
  <c r="J3" i="19"/>
  <c r="I3" i="19" a="1"/>
  <c r="K10" i="19" s="1"/>
  <c r="F3" i="19"/>
  <c r="E3" i="19"/>
  <c r="C3" i="19"/>
  <c r="H105" i="17"/>
  <c r="G105" i="17"/>
  <c r="O123" i="17"/>
  <c r="O113" i="17"/>
  <c r="J10" i="17"/>
  <c r="F10" i="17"/>
  <c r="E10" i="17"/>
  <c r="C10" i="17"/>
  <c r="J9" i="17"/>
  <c r="F9" i="17"/>
  <c r="E9" i="17"/>
  <c r="C9" i="17"/>
  <c r="O110" i="17"/>
  <c r="J8" i="17"/>
  <c r="F8" i="17"/>
  <c r="E8" i="17"/>
  <c r="C8" i="17"/>
  <c r="O109" i="17"/>
  <c r="J7" i="17"/>
  <c r="F7" i="17"/>
  <c r="E7" i="17"/>
  <c r="C7" i="17"/>
  <c r="J6" i="17"/>
  <c r="F6" i="17"/>
  <c r="E6" i="17"/>
  <c r="C6" i="17"/>
  <c r="J5" i="17"/>
  <c r="F5" i="17"/>
  <c r="E5" i="17"/>
  <c r="C5" i="17"/>
  <c r="P106" i="17" a="1"/>
  <c r="P106" i="17" s="1"/>
  <c r="P105" i="17" s="1"/>
  <c r="N106" i="17" a="1"/>
  <c r="O112" i="17" s="1"/>
  <c r="J4" i="17"/>
  <c r="F4" i="17"/>
  <c r="E4" i="17"/>
  <c r="C4" i="17"/>
  <c r="O105" i="17"/>
  <c r="L3" i="17" a="1"/>
  <c r="L3" i="17" s="1"/>
  <c r="J3" i="17"/>
  <c r="I3" i="17" a="1"/>
  <c r="K10" i="17" s="1"/>
  <c r="F3" i="17"/>
  <c r="E3" i="17"/>
  <c r="C3" i="17"/>
  <c r="J10" i="15"/>
  <c r="F10" i="15"/>
  <c r="E10" i="15"/>
  <c r="C10" i="15"/>
  <c r="O105" i="15" s="1"/>
  <c r="J9" i="15"/>
  <c r="F9" i="15"/>
  <c r="E9" i="15"/>
  <c r="C9" i="15"/>
  <c r="J8" i="15"/>
  <c r="F8" i="15"/>
  <c r="E8" i="15"/>
  <c r="C8" i="15"/>
  <c r="J7" i="15"/>
  <c r="F7" i="15"/>
  <c r="E7" i="15"/>
  <c r="C7" i="15"/>
  <c r="J6" i="15"/>
  <c r="F6" i="15"/>
  <c r="E6" i="15"/>
  <c r="C6" i="15"/>
  <c r="J5" i="15"/>
  <c r="F5" i="15"/>
  <c r="E5" i="15"/>
  <c r="C5" i="15"/>
  <c r="P106" i="15" a="1"/>
  <c r="P106" i="15" s="1"/>
  <c r="P105" i="15" s="1"/>
  <c r="N106" i="15" a="1"/>
  <c r="O114" i="15" s="1"/>
  <c r="J4" i="15"/>
  <c r="F4" i="15"/>
  <c r="H105" i="15" s="1"/>
  <c r="E4" i="15"/>
  <c r="G105" i="15" s="1"/>
  <c r="C4" i="15"/>
  <c r="L3" i="15" a="1"/>
  <c r="L3" i="15" s="1"/>
  <c r="J3" i="15"/>
  <c r="I3" i="15" a="1"/>
  <c r="K10" i="15" s="1"/>
  <c r="F3" i="15"/>
  <c r="E3" i="15"/>
  <c r="C3" i="15"/>
  <c r="O106" i="11"/>
  <c r="O107" i="11"/>
  <c r="O108" i="11"/>
  <c r="O109" i="11"/>
  <c r="O110" i="11"/>
  <c r="O111" i="11"/>
  <c r="O112" i="11"/>
  <c r="O113" i="11"/>
  <c r="O114" i="11"/>
  <c r="O115" i="11"/>
  <c r="O116" i="11"/>
  <c r="O117" i="11"/>
  <c r="O118" i="11"/>
  <c r="O119" i="11"/>
  <c r="O120" i="11"/>
  <c r="O121" i="11"/>
  <c r="O122" i="11"/>
  <c r="O123" i="11"/>
  <c r="O105" i="11"/>
  <c r="C4" i="11"/>
  <c r="C5" i="11"/>
  <c r="C6" i="11"/>
  <c r="C7" i="11"/>
  <c r="C8" i="11"/>
  <c r="C9" i="11"/>
  <c r="C10" i="11"/>
  <c r="C3" i="11"/>
  <c r="F4" i="11"/>
  <c r="F5" i="11"/>
  <c r="F6" i="11"/>
  <c r="F7" i="11"/>
  <c r="F8" i="11"/>
  <c r="F9" i="11"/>
  <c r="F10" i="11"/>
  <c r="F3" i="11"/>
  <c r="E4" i="11"/>
  <c r="E5" i="11"/>
  <c r="E6" i="11"/>
  <c r="E7" i="11"/>
  <c r="E8" i="11"/>
  <c r="E9" i="11"/>
  <c r="E10" i="11"/>
  <c r="E3" i="11"/>
  <c r="V3" i="1"/>
  <c r="V4" i="1"/>
  <c r="V5" i="1"/>
  <c r="V6" i="1"/>
  <c r="V7" i="1"/>
  <c r="V8" i="1"/>
  <c r="V9" i="1"/>
  <c r="V2" i="1"/>
  <c r="I27" i="1"/>
  <c r="I26" i="1"/>
  <c r="I25" i="1"/>
  <c r="I28" i="1"/>
  <c r="I24" i="1"/>
  <c r="J10" i="11"/>
  <c r="J9" i="11"/>
  <c r="J8" i="11"/>
  <c r="J7" i="11"/>
  <c r="J6" i="11"/>
  <c r="J5" i="11"/>
  <c r="P106" i="11" a="1"/>
  <c r="P106" i="11" s="1"/>
  <c r="P105" i="11" s="1"/>
  <c r="N106" i="11" a="1"/>
  <c r="J4" i="11"/>
  <c r="L3" i="11" a="1"/>
  <c r="L3" i="11" s="1"/>
  <c r="J3" i="11"/>
  <c r="I3" i="11" a="1"/>
  <c r="K5" i="11" s="1"/>
  <c r="L3" i="1"/>
  <c r="L4" i="1"/>
  <c r="L5" i="1"/>
  <c r="L6" i="1"/>
  <c r="L7" i="1"/>
  <c r="L8" i="1"/>
  <c r="L9" i="1"/>
  <c r="L2" i="1"/>
  <c r="J3" i="1"/>
  <c r="J4" i="1"/>
  <c r="J5" i="1"/>
  <c r="J6" i="1"/>
  <c r="J7" i="1"/>
  <c r="J8" i="1"/>
  <c r="J9" i="1"/>
  <c r="J2" i="1"/>
  <c r="D28" i="1"/>
  <c r="D25" i="1"/>
  <c r="B27" i="1"/>
  <c r="D27" i="1" s="1"/>
  <c r="R68" i="1" a="1"/>
  <c r="R68" i="1" s="1"/>
  <c r="Q67" i="1" a="1"/>
  <c r="Q67" i="1" s="1"/>
  <c r="P66" i="1" a="1"/>
  <c r="P66" i="1" s="1"/>
  <c r="O65" i="1" a="1"/>
  <c r="O65" i="1" s="1"/>
  <c r="N64" i="1" a="1"/>
  <c r="N64" i="1" s="1"/>
  <c r="M63" i="1" a="1"/>
  <c r="M63" i="1" s="1"/>
  <c r="L62" i="1" a="1"/>
  <c r="L62" i="1" s="1"/>
  <c r="K61" i="1" a="1"/>
  <c r="K61" i="1" s="1"/>
  <c r="J60" i="1" a="1"/>
  <c r="J60" i="1" s="1"/>
  <c r="I59" i="1" a="1"/>
  <c r="I59" i="1" s="1"/>
  <c r="H58" i="1" a="1"/>
  <c r="H58" i="1" s="1"/>
  <c r="G57" i="1" a="1"/>
  <c r="G57" i="1" s="1"/>
  <c r="F56" i="1" a="1"/>
  <c r="F56" i="1" s="1"/>
  <c r="E55" i="1" a="1"/>
  <c r="E55" i="1" s="1"/>
  <c r="D54" i="1" a="1"/>
  <c r="D54" i="1" s="1"/>
  <c r="C53" i="1" a="1"/>
  <c r="C53" i="1" s="1"/>
  <c r="B52" i="1" a="1"/>
  <c r="B52" i="1" s="1"/>
  <c r="R48" i="1" a="1"/>
  <c r="R48" i="1" s="1"/>
  <c r="Q47" i="1" a="1"/>
  <c r="Q47" i="1" s="1"/>
  <c r="P46" i="1" a="1"/>
  <c r="P46" i="1" s="1"/>
  <c r="O45" i="1" a="1"/>
  <c r="O45" i="1" s="1"/>
  <c r="N44" i="1" a="1"/>
  <c r="N44" i="1" s="1"/>
  <c r="M43" i="1" a="1"/>
  <c r="M43" i="1" s="1"/>
  <c r="L42" i="1" a="1"/>
  <c r="L42" i="1" s="1"/>
  <c r="K41" i="1" a="1"/>
  <c r="K41" i="1" s="1"/>
  <c r="J40" i="1" a="1"/>
  <c r="J40" i="1" s="1"/>
  <c r="I39" i="1" a="1"/>
  <c r="I39" i="1" s="1"/>
  <c r="H38" i="1" a="1"/>
  <c r="H38" i="1" s="1"/>
  <c r="G37" i="1" a="1"/>
  <c r="G37" i="1" s="1"/>
  <c r="F36" i="1" a="1"/>
  <c r="F36" i="1" s="1"/>
  <c r="E35" i="1" a="1"/>
  <c r="E35" i="1" s="1"/>
  <c r="D34" i="1" a="1"/>
  <c r="D34" i="1" s="1"/>
  <c r="C33" i="1" a="1"/>
  <c r="C33" i="1" s="1"/>
  <c r="B32" i="1" a="1"/>
  <c r="B32" i="1" s="1"/>
  <c r="B50" i="1" a="1"/>
  <c r="B50" i="1" s="1"/>
  <c r="A51" i="1" a="1"/>
  <c r="A51" i="1" s="1"/>
  <c r="A31" i="1" a="1"/>
  <c r="A31" i="1" s="1"/>
  <c r="B30" i="1" s="1" a="1"/>
  <c r="B30" i="1" s="1"/>
  <c r="D24" i="1"/>
  <c r="D10" i="1" a="1"/>
  <c r="D10" i="1" s="1"/>
  <c r="D11" i="1" a="1"/>
  <c r="D11" i="1" s="1"/>
  <c r="D12" i="1" a="1"/>
  <c r="D12" i="1" s="1"/>
  <c r="D14" i="1" a="1"/>
  <c r="D14" i="1" s="1"/>
  <c r="D15" i="1" a="1"/>
  <c r="D15" i="1" s="1"/>
  <c r="D16" i="1" a="1"/>
  <c r="D16" i="1" s="1"/>
  <c r="D17" i="1" a="1"/>
  <c r="D17" i="1" s="1"/>
  <c r="D18" i="1" a="1"/>
  <c r="D18" i="1" s="1"/>
  <c r="D19" i="1" a="1"/>
  <c r="D19" i="1" s="1"/>
  <c r="D3" i="1" a="1"/>
  <c r="D3" i="1" s="1"/>
  <c r="D4" i="1" a="1"/>
  <c r="D4" i="1" s="1"/>
  <c r="D5" i="1" a="1"/>
  <c r="D5" i="1" s="1"/>
  <c r="D6" i="1" a="1"/>
  <c r="D6" i="1" s="1"/>
  <c r="D7" i="1" a="1"/>
  <c r="D7" i="1" s="1"/>
  <c r="D8" i="1" a="1"/>
  <c r="D8" i="1" s="1"/>
  <c r="D9" i="1" a="1"/>
  <c r="D9" i="1" s="1"/>
  <c r="D2" i="1" a="1"/>
  <c r="D2" i="1" s="1"/>
  <c r="H106" i="23" l="1"/>
  <c r="O112" i="15"/>
  <c r="O113" i="15"/>
  <c r="O107" i="15"/>
  <c r="H106" i="19"/>
  <c r="G106" i="15"/>
  <c r="H106" i="15"/>
  <c r="K7" i="21"/>
  <c r="K7" i="19"/>
  <c r="K7" i="22"/>
  <c r="K7" i="23"/>
  <c r="I3" i="21"/>
  <c r="K3" i="21" s="1"/>
  <c r="K7" i="15"/>
  <c r="K8" i="21"/>
  <c r="K8" i="22"/>
  <c r="I3" i="19"/>
  <c r="K3" i="19" s="1"/>
  <c r="K5" i="19"/>
  <c r="I3" i="23"/>
  <c r="K3" i="23" s="1"/>
  <c r="K8" i="23"/>
  <c r="K5" i="23"/>
  <c r="I3" i="22"/>
  <c r="K3" i="22" s="1"/>
  <c r="I3" i="15"/>
  <c r="K3" i="15" s="1"/>
  <c r="K5" i="15"/>
  <c r="K6" i="21"/>
  <c r="K4" i="21"/>
  <c r="G106" i="23"/>
  <c r="I105" i="23"/>
  <c r="N111" i="23"/>
  <c r="N117" i="23"/>
  <c r="N118" i="23"/>
  <c r="K4" i="23"/>
  <c r="K6" i="23"/>
  <c r="N120" i="23"/>
  <c r="N109" i="23"/>
  <c r="N121" i="23"/>
  <c r="M107" i="23"/>
  <c r="N107" i="23" s="1"/>
  <c r="K9" i="23"/>
  <c r="N122" i="23"/>
  <c r="N112" i="23"/>
  <c r="N123" i="23"/>
  <c r="N124" i="23"/>
  <c r="N110" i="23"/>
  <c r="G106" i="22"/>
  <c r="I105" i="22"/>
  <c r="H106" i="22"/>
  <c r="N107" i="22"/>
  <c r="N114" i="22"/>
  <c r="N118" i="22"/>
  <c r="K4" i="22"/>
  <c r="K6" i="22"/>
  <c r="N119" i="22"/>
  <c r="N108" i="22"/>
  <c r="N120" i="22"/>
  <c r="K9" i="22"/>
  <c r="N121" i="22"/>
  <c r="N111" i="22"/>
  <c r="N122" i="22"/>
  <c r="N123" i="22"/>
  <c r="N109" i="22"/>
  <c r="K10" i="22"/>
  <c r="N112" i="22"/>
  <c r="G106" i="21"/>
  <c r="I105" i="21"/>
  <c r="K5" i="21"/>
  <c r="N113" i="21"/>
  <c r="N117" i="21"/>
  <c r="N118" i="21"/>
  <c r="N108" i="21"/>
  <c r="N120" i="21"/>
  <c r="M106" i="21"/>
  <c r="N106" i="21" s="1"/>
  <c r="K9" i="21"/>
  <c r="N121" i="21"/>
  <c r="N111" i="21"/>
  <c r="N122" i="21"/>
  <c r="N123" i="21"/>
  <c r="G106" i="19"/>
  <c r="I105" i="19"/>
  <c r="K8" i="19"/>
  <c r="N115" i="19"/>
  <c r="N110" i="19"/>
  <c r="N116" i="19"/>
  <c r="N117" i="19"/>
  <c r="N118" i="19"/>
  <c r="K4" i="19"/>
  <c r="K6" i="19"/>
  <c r="N119" i="19"/>
  <c r="N108" i="19"/>
  <c r="N120" i="19"/>
  <c r="M106" i="19"/>
  <c r="N106" i="19" s="1"/>
  <c r="K9" i="19"/>
  <c r="N121" i="19"/>
  <c r="N111" i="19"/>
  <c r="N122" i="19"/>
  <c r="N123" i="19"/>
  <c r="N109" i="19"/>
  <c r="G106" i="17"/>
  <c r="H106" i="17"/>
  <c r="O107" i="17"/>
  <c r="O114" i="17"/>
  <c r="K8" i="17"/>
  <c r="O115" i="17"/>
  <c r="O116" i="17"/>
  <c r="O117" i="17"/>
  <c r="K5" i="17"/>
  <c r="O118" i="17"/>
  <c r="K4" i="17"/>
  <c r="K6" i="17"/>
  <c r="O119" i="17"/>
  <c r="K7" i="17"/>
  <c r="O108" i="17"/>
  <c r="O120" i="17"/>
  <c r="N106" i="17"/>
  <c r="O106" i="17" s="1"/>
  <c r="K9" i="17"/>
  <c r="O121" i="17"/>
  <c r="O111" i="17"/>
  <c r="O122" i="17"/>
  <c r="I105" i="17"/>
  <c r="I3" i="17"/>
  <c r="K3" i="17" s="1"/>
  <c r="I105" i="15"/>
  <c r="K8" i="15"/>
  <c r="O115" i="15"/>
  <c r="O110" i="15"/>
  <c r="O116" i="15"/>
  <c r="O117" i="15"/>
  <c r="O118" i="15"/>
  <c r="K4" i="15"/>
  <c r="K6" i="15"/>
  <c r="O119" i="15"/>
  <c r="O108" i="15"/>
  <c r="O120" i="15"/>
  <c r="N106" i="15"/>
  <c r="O106" i="15" s="1"/>
  <c r="K9" i="15"/>
  <c r="O121" i="15"/>
  <c r="O111" i="15"/>
  <c r="O122" i="15"/>
  <c r="O123" i="15"/>
  <c r="O109" i="15"/>
  <c r="K9" i="11"/>
  <c r="K10" i="11"/>
  <c r="H105" i="11"/>
  <c r="H106" i="11" s="1"/>
  <c r="G105" i="11"/>
  <c r="I3" i="11"/>
  <c r="K3" i="11" s="1"/>
  <c r="K6" i="11"/>
  <c r="K7" i="11"/>
  <c r="K4" i="11"/>
  <c r="K8" i="11"/>
  <c r="N106" i="11"/>
  <c r="I105" i="11" l="1"/>
  <c r="G106" i="1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7ED3E50-D932-48FE-8F4E-5FFCFF82BD32}"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CCE5C2D6-A464-4D3B-BCC0-50F03AE0D6BB}" name="WorksheetConnection_Data!$C$2:$C$19" type="102" refreshedVersion="8" minRefreshableVersion="5">
    <extLst>
      <ext xmlns:x15="http://schemas.microsoft.com/office/spreadsheetml/2010/11/main" uri="{DE250136-89BD-433C-8126-D09CA5730AF9}">
        <x15:connection id="Range">
          <x15:rangePr sourceName="_xlcn.WorksheetConnection_DataC2C19"/>
        </x15:connection>
      </ext>
    </extLst>
  </connection>
  <connection id="3" xr16:uid="{A0C062FC-7DD8-4675-AB57-A2000D9E0E02}" name="WorksheetConnection_Tableau!$A$1:$F$19" type="102" refreshedVersion="8" minRefreshableVersion="5">
    <extLst>
      <ext xmlns:x15="http://schemas.microsoft.com/office/spreadsheetml/2010/11/main" uri="{DE250136-89BD-433C-8126-D09CA5730AF9}">
        <x15:connection id="Range 1">
          <x15:rangePr sourceName="_xlcn.WorksheetConnection_TableauA1F19"/>
        </x15:connection>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3">
    <bk>
      <extLst>
        <ext uri="{3e2802c4-a4d2-4d8b-9148-e3be6c30e623}">
          <xlrd:rvb i="0"/>
        </ext>
      </extLst>
    </bk>
    <bk>
      <extLst>
        <ext uri="{3e2802c4-a4d2-4d8b-9148-e3be6c30e623}">
          <xlrd:rvb i="2"/>
        </ext>
      </extLst>
    </bk>
    <bk>
      <extLst>
        <ext uri="{3e2802c4-a4d2-4d8b-9148-e3be6c30e623}">
          <xlrd:rvb i="72"/>
        </ext>
      </extLst>
    </bk>
    <bk>
      <extLst>
        <ext uri="{3e2802c4-a4d2-4d8b-9148-e3be6c30e623}">
          <xlrd:rvb i="76"/>
        </ext>
      </extLst>
    </bk>
    <bk>
      <extLst>
        <ext uri="{3e2802c4-a4d2-4d8b-9148-e3be6c30e623}">
          <xlrd:rvb i="171"/>
        </ext>
      </extLst>
    </bk>
    <bk>
      <extLst>
        <ext uri="{3e2802c4-a4d2-4d8b-9148-e3be6c30e623}">
          <xlrd:rvb i="173"/>
        </ext>
      </extLst>
    </bk>
    <bk>
      <extLst>
        <ext uri="{3e2802c4-a4d2-4d8b-9148-e3be6c30e623}">
          <xlrd:rvb i="227"/>
        </ext>
      </extLst>
    </bk>
    <bk>
      <extLst>
        <ext uri="{3e2802c4-a4d2-4d8b-9148-e3be6c30e623}">
          <xlrd:rvb i="230"/>
        </ext>
      </extLst>
    </bk>
    <bk>
      <extLst>
        <ext uri="{3e2802c4-a4d2-4d8b-9148-e3be6c30e623}">
          <xlrd:rvb i="341"/>
        </ext>
      </extLst>
    </bk>
    <bk>
      <extLst>
        <ext uri="{3e2802c4-a4d2-4d8b-9148-e3be6c30e623}">
          <xlrd:rvb i="344"/>
        </ext>
      </extLst>
    </bk>
    <bk>
      <extLst>
        <ext uri="{3e2802c4-a4d2-4d8b-9148-e3be6c30e623}">
          <xlrd:rvb i="426"/>
        </ext>
      </extLst>
    </bk>
    <bk>
      <extLst>
        <ext uri="{3e2802c4-a4d2-4d8b-9148-e3be6c30e623}">
          <xlrd:rvb i="430"/>
        </ext>
      </extLst>
    </bk>
    <bk>
      <extLst>
        <ext uri="{3e2802c4-a4d2-4d8b-9148-e3be6c30e623}">
          <xlrd:rvb i="538"/>
        </ext>
      </extLst>
    </bk>
    <bk>
      <extLst>
        <ext uri="{3e2802c4-a4d2-4d8b-9148-e3be6c30e623}">
          <xlrd:rvb i="541"/>
        </ext>
      </extLst>
    </bk>
    <bk>
      <extLst>
        <ext uri="{3e2802c4-a4d2-4d8b-9148-e3be6c30e623}">
          <xlrd:rvb i="620"/>
        </ext>
      </extLst>
    </bk>
    <bk>
      <extLst>
        <ext uri="{3e2802c4-a4d2-4d8b-9148-e3be6c30e623}">
          <xlrd:rvb i="623"/>
        </ext>
      </extLst>
    </bk>
    <bk>
      <extLst>
        <ext uri="{3e2802c4-a4d2-4d8b-9148-e3be6c30e623}">
          <xlrd:rvb i="684"/>
        </ext>
      </extLst>
    </bk>
    <bk>
      <extLst>
        <ext uri="{3e2802c4-a4d2-4d8b-9148-e3be6c30e623}">
          <xlrd:rvb i="687"/>
        </ext>
      </extLst>
    </bk>
    <bk>
      <extLst>
        <ext uri="{3e2802c4-a4d2-4d8b-9148-e3be6c30e623}">
          <xlrd:rvb i="784"/>
        </ext>
      </extLst>
    </bk>
    <bk>
      <extLst>
        <ext uri="{3e2802c4-a4d2-4d8b-9148-e3be6c30e623}">
          <xlrd:rvb i="788"/>
        </ext>
      </extLst>
    </bk>
    <bk>
      <extLst>
        <ext uri="{3e2802c4-a4d2-4d8b-9148-e3be6c30e623}">
          <xlrd:rvb i="988"/>
        </ext>
      </extLst>
    </bk>
    <bk>
      <extLst>
        <ext uri="{3e2802c4-a4d2-4d8b-9148-e3be6c30e623}">
          <xlrd:rvb i="990"/>
        </ext>
      </extLst>
    </bk>
    <bk>
      <extLst>
        <ext uri="{3e2802c4-a4d2-4d8b-9148-e3be6c30e623}">
          <xlrd:rvb i="278"/>
        </ext>
      </extLst>
    </bk>
    <bk>
      <extLst>
        <ext uri="{3e2802c4-a4d2-4d8b-9148-e3be6c30e623}">
          <xlrd:rvb i="1118"/>
        </ext>
      </extLst>
    </bk>
    <bk>
      <extLst>
        <ext uri="{3e2802c4-a4d2-4d8b-9148-e3be6c30e623}">
          <xlrd:rvb i="1120"/>
        </ext>
      </extLst>
    </bk>
    <bk>
      <extLst>
        <ext uri="{3e2802c4-a4d2-4d8b-9148-e3be6c30e623}">
          <xlrd:rvb i="1185"/>
        </ext>
      </extLst>
    </bk>
    <bk>
      <extLst>
        <ext uri="{3e2802c4-a4d2-4d8b-9148-e3be6c30e623}">
          <xlrd:rvb i="1196"/>
        </ext>
      </extLst>
    </bk>
    <bk>
      <extLst>
        <ext uri="{3e2802c4-a4d2-4d8b-9148-e3be6c30e623}">
          <xlrd:rvb i="1207"/>
        </ext>
      </extLst>
    </bk>
    <bk>
      <extLst>
        <ext uri="{3e2802c4-a4d2-4d8b-9148-e3be6c30e623}">
          <xlrd:rvb i="1210"/>
        </ext>
      </extLst>
    </bk>
    <bk>
      <extLst>
        <ext uri="{3e2802c4-a4d2-4d8b-9148-e3be6c30e623}">
          <xlrd:rvb i="1275"/>
        </ext>
      </extLst>
    </bk>
    <bk>
      <extLst>
        <ext uri="{3e2802c4-a4d2-4d8b-9148-e3be6c30e623}">
          <xlrd:rvb i="1279"/>
        </ext>
      </extLst>
    </bk>
    <bk>
      <extLst>
        <ext uri="{3e2802c4-a4d2-4d8b-9148-e3be6c30e623}">
          <xlrd:rvb i="1337"/>
        </ext>
      </extLst>
    </bk>
    <bk>
      <extLst>
        <ext uri="{3e2802c4-a4d2-4d8b-9148-e3be6c30e623}">
          <xlrd:rvb i="1339"/>
        </ext>
      </extLst>
    </bk>
  </futureMetadata>
  <cellMetadata count="1">
    <bk>
      <rc t="1" v="0"/>
    </bk>
  </cellMetadata>
  <valueMetadata count="33">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valueMetadata>
</metadata>
</file>

<file path=xl/sharedStrings.xml><?xml version="1.0" encoding="utf-8"?>
<sst xmlns="http://schemas.openxmlformats.org/spreadsheetml/2006/main" count="2697" uniqueCount="130">
  <si>
    <t>Units</t>
  </si>
  <si>
    <t>Origin</t>
  </si>
  <si>
    <t>Destination</t>
  </si>
  <si>
    <t>Cost</t>
  </si>
  <si>
    <t>Node</t>
  </si>
  <si>
    <t>Supply</t>
  </si>
  <si>
    <t>Demand</t>
  </si>
  <si>
    <t>Europe</t>
  </si>
  <si>
    <t>Americas</t>
  </si>
  <si>
    <t>Asia</t>
  </si>
  <si>
    <t>Other</t>
  </si>
  <si>
    <t>China</t>
  </si>
  <si>
    <t>Rest of Asia</t>
  </si>
  <si>
    <t>Labour cost</t>
  </si>
  <si>
    <t>ARA</t>
  </si>
  <si>
    <t>CHE</t>
  </si>
  <si>
    <t>MUN</t>
  </si>
  <si>
    <t>BKK</t>
  </si>
  <si>
    <t>TAM</t>
  </si>
  <si>
    <t>SAV</t>
  </si>
  <si>
    <t>Code</t>
  </si>
  <si>
    <t>City</t>
  </si>
  <si>
    <t>Country</t>
  </si>
  <si>
    <t>Region</t>
  </si>
  <si>
    <t>Manufacturing site</t>
  </si>
  <si>
    <t>LON</t>
  </si>
  <si>
    <t>MOS</t>
  </si>
  <si>
    <t>HKG</t>
  </si>
  <si>
    <t>BUS</t>
  </si>
  <si>
    <t>SEA</t>
  </si>
  <si>
    <t>MON</t>
  </si>
  <si>
    <t>SYD</t>
  </si>
  <si>
    <t>LAX</t>
  </si>
  <si>
    <t>Rate</t>
  </si>
  <si>
    <t>1000 units</t>
  </si>
  <si>
    <t>X</t>
  </si>
  <si>
    <t>N</t>
  </si>
  <si>
    <t>Distance (sea)</t>
  </si>
  <si>
    <t>Distance (rail)</t>
  </si>
  <si>
    <t>DAL</t>
  </si>
  <si>
    <t>Emissions</t>
  </si>
  <si>
    <t>Rail</t>
  </si>
  <si>
    <t>Sea</t>
  </si>
  <si>
    <t>Tons per 1000 units</t>
  </si>
  <si>
    <t>DUR</t>
  </si>
  <si>
    <t>DBI</t>
  </si>
  <si>
    <t>Mode</t>
  </si>
  <si>
    <t>GOA</t>
  </si>
  <si>
    <t>Labour</t>
  </si>
  <si>
    <t>Materials</t>
  </si>
  <si>
    <t>Min Prod.</t>
  </si>
  <si>
    <t>Min</t>
  </si>
  <si>
    <t>Max</t>
  </si>
  <si>
    <t>Total Cost</t>
  </si>
  <si>
    <t>Total Emissions</t>
  </si>
  <si>
    <t>Total Weighted Cost</t>
  </si>
  <si>
    <t>Per car</t>
  </si>
  <si>
    <t>No.</t>
  </si>
  <si>
    <t>Max. Prod.</t>
  </si>
  <si>
    <t>Pro</t>
  </si>
  <si>
    <t>Emissions weighting</t>
  </si>
  <si>
    <t>A</t>
  </si>
  <si>
    <t>MinA</t>
  </si>
  <si>
    <t>m</t>
  </si>
  <si>
    <t>mA</t>
  </si>
  <si>
    <t>Scenario</t>
  </si>
  <si>
    <t>Total cost</t>
  </si>
  <si>
    <t>Emissions weighting (w)</t>
  </si>
  <si>
    <t>Total emissions</t>
  </si>
  <si>
    <t>Total weighted cost</t>
  </si>
  <si>
    <t>BAU</t>
  </si>
  <si>
    <t>Lowest cost</t>
  </si>
  <si>
    <t>Lowest emissions</t>
  </si>
  <si>
    <t>Balanced</t>
  </si>
  <si>
    <t>-per car</t>
  </si>
  <si>
    <t>Lower cost</t>
  </si>
  <si>
    <t>Lower emissions</t>
  </si>
  <si>
    <t>kgCO2e per tonne-km</t>
  </si>
  <si>
    <t>$ per tonne-km</t>
  </si>
  <si>
    <t>]</t>
  </si>
  <si>
    <t>Nuts to min 0.05</t>
  </si>
  <si>
    <t>Nut mix inclusion</t>
  </si>
  <si>
    <t>Pack volume</t>
  </si>
  <si>
    <t>Total</t>
  </si>
  <si>
    <t>Nuts to max 0.15</t>
  </si>
  <si>
    <t>Weight ratio</t>
  </si>
  <si>
    <t>Puff rice to min 0.2</t>
  </si>
  <si>
    <t>Volume ratio</t>
  </si>
  <si>
    <t>Min/Max</t>
  </si>
  <si>
    <t>Ratio</t>
  </si>
  <si>
    <t>Fat</t>
  </si>
  <si>
    <t>Calories</t>
  </si>
  <si>
    <t>Used</t>
  </si>
  <si>
    <t>Constraints</t>
  </si>
  <si>
    <t>Amount (kg)</t>
  </si>
  <si>
    <t>Cereal</t>
  </si>
  <si>
    <t>Nuts</t>
  </si>
  <si>
    <t>Puff rice</t>
  </si>
  <si>
    <t>0.95X_2 - 0.05(X_1 + X_3) &gt;= 0</t>
  </si>
  <si>
    <t>3 &lt;= 0.25X_1 + 0.375X_2 + X_3 &lt;= 4</t>
  </si>
  <si>
    <t>0.85X_1 - 0.15(X_2 + X_3) &lt;= 0</t>
  </si>
  <si>
    <t>0.8(0.25X_1) -  0.2(0.375X_2 + X_3) &gt;= 0</t>
  </si>
  <si>
    <t>10X_2 + 1X_3 &lt;= 25</t>
  </si>
  <si>
    <t>150X_1 + 400X_2 + 50X_3 &lt;= 1000</t>
  </si>
  <si>
    <t>Subject to:</t>
  </si>
  <si>
    <t>0.35X_1 + 0.5X_2 + 0.2X_3</t>
  </si>
  <si>
    <t>Minimise</t>
  </si>
  <si>
    <t>Objective function:</t>
  </si>
  <si>
    <t>X_3</t>
  </si>
  <si>
    <t>Cereal mix</t>
  </si>
  <si>
    <t>X_2</t>
  </si>
  <si>
    <t>Nut mix</t>
  </si>
  <si>
    <t>X_1</t>
  </si>
  <si>
    <t>Puff rice mixture</t>
  </si>
  <si>
    <t>Fat Grams</t>
  </si>
  <si>
    <t>Volume (cups)</t>
  </si>
  <si>
    <t>Variable</t>
  </si>
  <si>
    <t>Ingredient</t>
  </si>
  <si>
    <t>Shift</t>
  </si>
  <si>
    <t>Day</t>
  </si>
  <si>
    <t>Staff</t>
  </si>
  <si>
    <t>Required</t>
  </si>
  <si>
    <t>Sun</t>
  </si>
  <si>
    <t>Mon</t>
  </si>
  <si>
    <t>Tue</t>
  </si>
  <si>
    <t>Wed</t>
  </si>
  <si>
    <t>Thu</t>
  </si>
  <si>
    <t>Fri</t>
  </si>
  <si>
    <t>Sat</t>
  </si>
  <si>
    <t>estimate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</si>
</sst>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quot;$&quot;* #,##0.00_-;\-&quot;$&quot;* #,##0.00_-;_-&quot;$&quot;* &quot;-&quot;??_-;_-@_-"/>
    <numFmt numFmtId="43" formatCode="_-* #,##0.00_-;\-* #,##0.00_-;_-* &quot;-&quot;??_-;_-@_-"/>
    <numFmt numFmtId="164" formatCode="_-&quot;£&quot;* #,##0.00_-;\-&quot;£&quot;* #,##0.00_-;_-&quot;£&quot;* &quot;-&quot;??_-;_-@_-"/>
    <numFmt numFmtId="165" formatCode="0.000"/>
    <numFmt numFmtId="166" formatCode="_-&quot;$&quot;* #,##0_-;\-&quot;$&quot;* #,##0_-;_-&quot;$&quot;* &quot;-&quot;??_-;_-@_-"/>
    <numFmt numFmtId="167" formatCode="_-* #,##0.0_-;\-* #,##0.0_-;_-* &quot;-&quot;??_-;_-@_-"/>
    <numFmt numFmtId="168" formatCode="_-* #,##0_-;\-* #,##0_-;_-* &quot;-&quot;??_-;_-@_-"/>
    <numFmt numFmtId="169" formatCode="0.0%"/>
    <numFmt numFmtId="170" formatCode="0.0"/>
  </numFmts>
  <fonts count="6" x14ac:knownFonts="1">
    <font>
      <sz val="11"/>
      <color theme="1"/>
      <name val="Calibri"/>
      <family val="2"/>
      <scheme val="minor"/>
    </font>
    <font>
      <sz val="11"/>
      <color theme="1"/>
      <name val="Calibri"/>
      <family val="2"/>
      <scheme val="minor"/>
    </font>
    <font>
      <u/>
      <sz val="11"/>
      <color theme="1"/>
      <name val="Calibri"/>
      <family val="2"/>
      <scheme val="minor"/>
    </font>
    <font>
      <sz val="11"/>
      <color theme="1"/>
      <name val="Arial"/>
      <family val="2"/>
    </font>
    <font>
      <b/>
      <sz val="11"/>
      <color theme="1"/>
      <name val="Arial"/>
      <family val="2"/>
    </font>
    <font>
      <b/>
      <sz val="11"/>
      <color theme="1"/>
      <name val="Calibri"/>
      <family val="2"/>
      <scheme val="minor"/>
    </font>
  </fonts>
  <fills count="3">
    <fill>
      <patternFill patternType="none"/>
    </fill>
    <fill>
      <patternFill patternType="gray125"/>
    </fill>
    <fill>
      <patternFill patternType="solid">
        <fgColor theme="2"/>
        <bgColor indexed="64"/>
      </patternFill>
    </fill>
  </fills>
  <borders count="3">
    <border>
      <left/>
      <right/>
      <top/>
      <bottom/>
      <diagonal/>
    </border>
    <border>
      <left/>
      <right style="thick">
        <color indexed="64"/>
      </right>
      <top/>
      <bottom/>
      <diagonal/>
    </border>
    <border>
      <left style="thick">
        <color indexed="64"/>
      </left>
      <right/>
      <top/>
      <bottom/>
      <diagonal/>
    </border>
  </borders>
  <cellStyleXfs count="5">
    <xf numFmtId="0" fontId="0" fillId="0" borderId="0"/>
    <xf numFmtId="43" fontId="1" fillId="0" borderId="0" applyFont="0" applyFill="0" applyBorder="0" applyAlignment="0" applyProtection="0"/>
    <xf numFmtId="4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cellStyleXfs>
  <cellXfs count="39">
    <xf numFmtId="0" fontId="0" fillId="0" borderId="0" xfId="0"/>
    <xf numFmtId="0" fontId="2" fillId="0" borderId="0" xfId="0" applyFont="1"/>
    <xf numFmtId="0" fontId="3" fillId="0" borderId="0" xfId="0" applyFont="1"/>
    <xf numFmtId="0" fontId="0" fillId="2" borderId="0" xfId="0" applyFill="1"/>
    <xf numFmtId="165" fontId="0" fillId="0" borderId="0" xfId="0" applyNumberFormat="1"/>
    <xf numFmtId="2" fontId="0" fillId="0" borderId="0" xfId="0" applyNumberFormat="1"/>
    <xf numFmtId="44" fontId="0" fillId="0" borderId="0" xfId="2" applyFont="1"/>
    <xf numFmtId="166" fontId="0" fillId="0" borderId="0" xfId="2" applyNumberFormat="1" applyFont="1"/>
    <xf numFmtId="167" fontId="0" fillId="0" borderId="0" xfId="1" applyNumberFormat="1" applyFont="1"/>
    <xf numFmtId="168" fontId="0" fillId="0" borderId="0" xfId="1" applyNumberFormat="1" applyFont="1"/>
    <xf numFmtId="44" fontId="0" fillId="0" borderId="0" xfId="0" applyNumberFormat="1"/>
    <xf numFmtId="49" fontId="0" fillId="0" borderId="0" xfId="0" applyNumberFormat="1"/>
    <xf numFmtId="43" fontId="0" fillId="0" borderId="0" xfId="1" applyFont="1"/>
    <xf numFmtId="2" fontId="3" fillId="0" borderId="0" xfId="0" applyNumberFormat="1" applyFont="1"/>
    <xf numFmtId="44" fontId="3" fillId="0" borderId="0" xfId="0" applyNumberFormat="1" applyFont="1"/>
    <xf numFmtId="0" fontId="3" fillId="0" borderId="0" xfId="0" quotePrefix="1" applyFont="1"/>
    <xf numFmtId="167" fontId="3" fillId="0" borderId="0" xfId="0" applyNumberFormat="1" applyFont="1"/>
    <xf numFmtId="43" fontId="3" fillId="0" borderId="0" xfId="0" applyNumberFormat="1" applyFont="1"/>
    <xf numFmtId="0" fontId="4" fillId="0" borderId="0" xfId="0" applyFont="1"/>
    <xf numFmtId="44" fontId="3" fillId="0" borderId="1" xfId="0" applyNumberFormat="1" applyFont="1" applyBorder="1"/>
    <xf numFmtId="167" fontId="3" fillId="0" borderId="1" xfId="0" applyNumberFormat="1" applyFont="1" applyBorder="1"/>
    <xf numFmtId="0" fontId="3" fillId="0" borderId="1" xfId="0" applyFont="1" applyBorder="1"/>
    <xf numFmtId="43" fontId="3" fillId="0" borderId="1" xfId="0" applyNumberFormat="1" applyFont="1" applyBorder="1"/>
    <xf numFmtId="0" fontId="4" fillId="0" borderId="1" xfId="0" applyFont="1" applyBorder="1"/>
    <xf numFmtId="0" fontId="4" fillId="0" borderId="2" xfId="0" applyFont="1" applyBorder="1"/>
    <xf numFmtId="0" fontId="3" fillId="0" borderId="2" xfId="0" applyFont="1" applyBorder="1"/>
    <xf numFmtId="44" fontId="3" fillId="0" borderId="2" xfId="0" applyNumberFormat="1" applyFont="1" applyBorder="1"/>
    <xf numFmtId="167" fontId="3" fillId="0" borderId="2" xfId="0" applyNumberFormat="1" applyFont="1" applyBorder="1"/>
    <xf numFmtId="43" fontId="3" fillId="0" borderId="2" xfId="0" applyNumberFormat="1" applyFont="1" applyBorder="1"/>
    <xf numFmtId="44" fontId="3" fillId="0" borderId="0" xfId="2" applyFont="1"/>
    <xf numFmtId="167" fontId="3" fillId="0" borderId="0" xfId="1" applyNumberFormat="1" applyFont="1"/>
    <xf numFmtId="43" fontId="3" fillId="0" borderId="0" xfId="1" applyFont="1"/>
    <xf numFmtId="44" fontId="4" fillId="0" borderId="0" xfId="2" applyFont="1"/>
    <xf numFmtId="167" fontId="4" fillId="0" borderId="0" xfId="1" applyNumberFormat="1" applyFont="1"/>
    <xf numFmtId="169" fontId="0" fillId="0" borderId="0" xfId="4" applyNumberFormat="1" applyFont="1"/>
    <xf numFmtId="170" fontId="0" fillId="0" borderId="0" xfId="0" applyNumberFormat="1"/>
    <xf numFmtId="0" fontId="0" fillId="0" borderId="0" xfId="0" applyAlignment="1">
      <alignment vertical="center" wrapText="1"/>
    </xf>
    <xf numFmtId="12" fontId="0" fillId="0" borderId="0" xfId="0" applyNumberFormat="1" applyAlignment="1">
      <alignment vertical="center" wrapText="1"/>
    </xf>
    <xf numFmtId="0" fontId="5" fillId="0" borderId="0" xfId="0" applyFont="1" applyAlignment="1">
      <alignment horizontal="center" vertical="center" wrapText="1"/>
    </xf>
  </cellXfs>
  <cellStyles count="5">
    <cellStyle name="Comma" xfId="1" builtinId="3"/>
    <cellStyle name="Currency" xfId="2" builtinId="4"/>
    <cellStyle name="Currency 2" xfId="3" xr:uid="{8571CDC7-8A4B-49CE-8210-38F584F71FC6}"/>
    <cellStyle name="Normal" xfId="0" builtinId="0"/>
    <cellStyle name="Percent" xfId="4" builtinId="5"/>
  </cellStyles>
  <dxfs count="39">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b val="0"/>
        <i val="0"/>
        <strike val="0"/>
        <condense val="0"/>
        <extend val="0"/>
        <outline val="0"/>
        <shadow val="0"/>
        <u val="none"/>
        <vertAlign val="baseline"/>
        <sz val="11"/>
        <color theme="1"/>
        <name val="Calibri"/>
        <family val="2"/>
        <scheme val="minor"/>
      </font>
      <numFmt numFmtId="167" formatCode="_-* #,##0.0_-;\-* #,##0.0_-;_-* &quot;-&quot;??_-;_-@_-"/>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Arial"/>
        <family val="2"/>
        <scheme val="none"/>
      </font>
      <numFmt numFmtId="167" formatCode="_-* #,##0.0_-;\-* #,##0.0_-;_-* &quot;-&quot;??_-;_-@_-"/>
    </dxf>
    <dxf>
      <font>
        <b val="0"/>
        <i val="0"/>
        <strike val="0"/>
        <condense val="0"/>
        <extend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b val="0"/>
        <i val="0"/>
        <strike val="0"/>
        <condense val="0"/>
        <extend val="0"/>
        <outline val="0"/>
        <shadow val="0"/>
        <u val="none"/>
        <vertAlign val="baseline"/>
        <sz val="11"/>
        <color theme="1"/>
        <name val="Calibri"/>
        <family val="2"/>
        <scheme val="minor"/>
      </font>
      <numFmt numFmtId="167" formatCode="_-* #,##0.0_-;\-* #,##0.0_-;_-* &quot;-&quot;??_-;_-@_-"/>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167" formatCode="_-* #,##0.0_-;\-* #,##0.0_-;_-* &quot;-&quot;??_-;_-@_-"/>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Arial"/>
        <family val="2"/>
        <scheme val="none"/>
      </font>
      <numFmt numFmtId="167" formatCode="_-* #,##0.0_-;\-* #,##0.0_-;_-* &quot;-&quot;??_-;_-@_-"/>
    </dxf>
    <dxf>
      <font>
        <b val="0"/>
        <i val="0"/>
        <strike val="0"/>
        <condense val="0"/>
        <extend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b val="0"/>
        <i val="0"/>
        <strike val="0"/>
        <condense val="0"/>
        <extend val="0"/>
        <outline val="0"/>
        <shadow val="0"/>
        <u val="none"/>
        <vertAlign val="baseline"/>
        <sz val="11"/>
        <color theme="1"/>
        <name val="Calibri"/>
        <family val="2"/>
        <scheme val="minor"/>
      </font>
      <numFmt numFmtId="167" formatCode="_-* #,##0.0_-;\-* #,##0.0_-;_-* &quot;-&quot;??_-;_-@_-"/>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Arial"/>
        <family val="2"/>
        <scheme val="none"/>
      </font>
      <numFmt numFmtId="167" formatCode="_-* #,##0.0_-;\-* #,##0.0_-;_-* &quot;-&quot;??_-;_-@_-"/>
    </dxf>
    <dxf>
      <font>
        <b val="0"/>
        <i val="0"/>
        <strike val="0"/>
        <condense val="0"/>
        <extend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heetMetadata" Target="metadata.xml"/><Relationship Id="rId26" Type="http://schemas.microsoft.com/office/2017/06/relationships/rdRichValueTypes" Target="richData/rdRichValueTypes.xml"/><Relationship Id="rId3" Type="http://schemas.openxmlformats.org/officeDocument/2006/relationships/worksheet" Target="worksheets/sheet3.xml"/><Relationship Id="rId21" Type="http://schemas.microsoft.com/office/2017/06/relationships/rdRichValueStructure" Target="richData/rdrichvalue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5" Type="http://schemas.microsoft.com/office/2017/06/relationships/rdSupportingPropertyBag" Target="richData/rdsupportingpropertybag.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17/06/relationships/rdRichValue" Target="richData/rdrichvalue.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dSupportingPropertyBagStructure" Target="richData/rdsupportingpropertybagstructure.xml"/><Relationship Id="rId32"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connections" Target="connections.xml"/><Relationship Id="rId23" Type="http://schemas.microsoft.com/office/2017/06/relationships/richStyles" Target="richData/richStyles.xml"/><Relationship Id="rId28" Type="http://schemas.openxmlformats.org/officeDocument/2006/relationships/calcChain" Target="calcChain.xml"/><Relationship Id="rId10" Type="http://schemas.openxmlformats.org/officeDocument/2006/relationships/worksheet" Target="worksheets/sheet10.xml"/><Relationship Id="rId19" Type="http://schemas.microsoft.com/office/2020/07/relationships/rdRichValueWebImage" Target="richData/rdRichValueWebImage.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17/06/relationships/rdArray" Target="richData/rdarray.xml"/><Relationship Id="rId27" Type="http://schemas.openxmlformats.org/officeDocument/2006/relationships/powerPivotData" Target="model/item.data"/><Relationship Id="rId30"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T3Report!$B$2</c:f>
              <c:strCache>
                <c:ptCount val="1"/>
                <c:pt idx="0">
                  <c:v>BAU</c:v>
                </c:pt>
              </c:strCache>
            </c:strRef>
          </c:tx>
          <c:spPr>
            <a:ln w="25400" cap="rnd">
              <a:no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T3Report!$B$5</c:f>
              <c:numCache>
                <c:formatCode>_("$"* #,##0.00_);_("$"* \(#,##0.00\);_("$"* "-"??_);_(@_)</c:formatCode>
                <c:ptCount val="1"/>
                <c:pt idx="0">
                  <c:v>26424.754491066178</c:v>
                </c:pt>
              </c:numCache>
            </c:numRef>
          </c:xVal>
          <c:yVal>
            <c:numRef>
              <c:f>T3Report!$B$7</c:f>
              <c:numCache>
                <c:formatCode>General</c:formatCode>
                <c:ptCount val="1"/>
                <c:pt idx="0">
                  <c:v>878.65776490118583</c:v>
                </c:pt>
              </c:numCache>
            </c:numRef>
          </c:yVal>
          <c:smooth val="0"/>
          <c:extLst>
            <c:ext xmlns:c16="http://schemas.microsoft.com/office/drawing/2014/chart" uri="{C3380CC4-5D6E-409C-BE32-E72D297353CC}">
              <c16:uniqueId val="{00000001-9895-4CE9-B895-FED796B6EEDD}"/>
            </c:ext>
          </c:extLst>
        </c:ser>
        <c:ser>
          <c:idx val="1"/>
          <c:order val="1"/>
          <c:tx>
            <c:strRef>
              <c:f>T3Report!$C$2</c:f>
              <c:strCache>
                <c:ptCount val="1"/>
                <c:pt idx="0">
                  <c:v>Lowest cost</c:v>
                </c:pt>
              </c:strCache>
            </c:strRef>
          </c:tx>
          <c:spPr>
            <a:ln w="25400" cap="rnd">
              <a:noFill/>
              <a:round/>
            </a:ln>
            <a:effectLst/>
          </c:spPr>
          <c:marker>
            <c:symbol val="circle"/>
            <c:size val="5"/>
            <c:spPr>
              <a:solidFill>
                <a:schemeClr val="accent2"/>
              </a:solidFill>
              <a:ln w="9525">
                <a:solidFill>
                  <a:schemeClr val="accent2"/>
                </a:solidFill>
              </a:ln>
              <a:effectLst/>
            </c:spPr>
          </c:marker>
          <c:dLbls>
            <c:dLbl>
              <c:idx val="0"/>
              <c:dLblPos val="b"/>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7-9895-4CE9-B895-FED796B6EED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2"/>
                </a:solidFill>
                <a:prstDash val="sysDot"/>
              </a:ln>
              <a:effectLst/>
            </c:spPr>
            <c:trendlineType val="linear"/>
            <c:dispRSqr val="0"/>
            <c:dispEq val="0"/>
          </c:trendline>
          <c:xVal>
            <c:numRef>
              <c:f>T3Report!$C$5</c:f>
              <c:numCache>
                <c:formatCode>_("$"* #,##0.00_);_("$"* \(#,##0.00\);_("$"* "-"??_);_(@_)</c:formatCode>
                <c:ptCount val="1"/>
                <c:pt idx="0">
                  <c:v>25725.581363867826</c:v>
                </c:pt>
              </c:numCache>
            </c:numRef>
          </c:xVal>
          <c:yVal>
            <c:numRef>
              <c:f>T3Report!$C$7</c:f>
              <c:numCache>
                <c:formatCode>General</c:formatCode>
                <c:ptCount val="1"/>
                <c:pt idx="0">
                  <c:v>1264.8869460237158</c:v>
                </c:pt>
              </c:numCache>
            </c:numRef>
          </c:yVal>
          <c:smooth val="0"/>
          <c:extLst>
            <c:ext xmlns:c16="http://schemas.microsoft.com/office/drawing/2014/chart" uri="{C3380CC4-5D6E-409C-BE32-E72D297353CC}">
              <c16:uniqueId val="{00000002-9895-4CE9-B895-FED796B6EEDD}"/>
            </c:ext>
          </c:extLst>
        </c:ser>
        <c:ser>
          <c:idx val="2"/>
          <c:order val="2"/>
          <c:tx>
            <c:strRef>
              <c:f>T3Report!$G$2</c:f>
              <c:strCache>
                <c:ptCount val="1"/>
                <c:pt idx="0">
                  <c:v>Lowest emissions</c:v>
                </c:pt>
              </c:strCache>
            </c:strRef>
          </c:tx>
          <c:spPr>
            <a:ln w="25400" cap="rnd">
              <a:noFill/>
              <a:round/>
            </a:ln>
            <a:effectLst/>
          </c:spPr>
          <c:marker>
            <c:symbol val="circle"/>
            <c:size val="5"/>
            <c:spPr>
              <a:solidFill>
                <a:schemeClr val="accent3"/>
              </a:solidFill>
              <a:ln w="9525">
                <a:solidFill>
                  <a:schemeClr val="accent3"/>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T3Report!$G$5</c:f>
              <c:numCache>
                <c:formatCode>_("$"* #,##0.00_);_("$"* \(#,##0.00\);_("$"* "-"??_);_(@_)</c:formatCode>
                <c:ptCount val="1"/>
                <c:pt idx="0">
                  <c:v>26245.373362431998</c:v>
                </c:pt>
              </c:numCache>
            </c:numRef>
          </c:xVal>
          <c:yVal>
            <c:numRef>
              <c:f>T3Report!$G$7</c:f>
              <c:numCache>
                <c:formatCode>General</c:formatCode>
                <c:ptCount val="1"/>
                <c:pt idx="0">
                  <c:v>405.16261925691697</c:v>
                </c:pt>
              </c:numCache>
            </c:numRef>
          </c:yVal>
          <c:smooth val="0"/>
          <c:extLst>
            <c:ext xmlns:c16="http://schemas.microsoft.com/office/drawing/2014/chart" uri="{C3380CC4-5D6E-409C-BE32-E72D297353CC}">
              <c16:uniqueId val="{00000003-9895-4CE9-B895-FED796B6EEDD}"/>
            </c:ext>
          </c:extLst>
        </c:ser>
        <c:ser>
          <c:idx val="3"/>
          <c:order val="3"/>
          <c:tx>
            <c:strRef>
              <c:f>T3Report!$E$2</c:f>
              <c:strCache>
                <c:ptCount val="1"/>
                <c:pt idx="0">
                  <c:v>Balanced</c:v>
                </c:pt>
              </c:strCache>
            </c:strRef>
          </c:tx>
          <c:spPr>
            <a:ln w="25400" cap="rnd">
              <a:noFill/>
              <a:round/>
            </a:ln>
            <a:effectLst/>
          </c:spPr>
          <c:marker>
            <c:symbol val="circle"/>
            <c:size val="5"/>
            <c:spPr>
              <a:solidFill>
                <a:schemeClr val="accent4"/>
              </a:solidFill>
              <a:ln w="9525">
                <a:solidFill>
                  <a:schemeClr val="accent4"/>
                </a:solidFill>
              </a:ln>
              <a:effectLst/>
            </c:spPr>
          </c:marker>
          <c:dLbls>
            <c:dLbl>
              <c:idx val="0"/>
              <c:layout>
                <c:manualLayout>
                  <c:x val="-8.4970961701887449E-2"/>
                  <c:y val="-6.4096742508413448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9-9895-4CE9-B895-FED796B6EED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T3Report!$E$5</c:f>
              <c:numCache>
                <c:formatCode>_("$"* #,##0.00_);_("$"* \(#,##0.00\);_("$"* "-"??_);_(@_)</c:formatCode>
                <c:ptCount val="1"/>
                <c:pt idx="0">
                  <c:v>26156.812950389376</c:v>
                </c:pt>
              </c:numCache>
            </c:numRef>
          </c:xVal>
          <c:yVal>
            <c:numRef>
              <c:f>T3Report!$E$7</c:f>
              <c:numCache>
                <c:formatCode>General</c:formatCode>
                <c:ptCount val="1"/>
                <c:pt idx="0">
                  <c:v>424.74133906719368</c:v>
                </c:pt>
              </c:numCache>
            </c:numRef>
          </c:yVal>
          <c:smooth val="0"/>
          <c:extLst>
            <c:ext xmlns:c16="http://schemas.microsoft.com/office/drawing/2014/chart" uri="{C3380CC4-5D6E-409C-BE32-E72D297353CC}">
              <c16:uniqueId val="{00000004-9895-4CE9-B895-FED796B6EEDD}"/>
            </c:ext>
          </c:extLst>
        </c:ser>
        <c:ser>
          <c:idx val="4"/>
          <c:order val="4"/>
          <c:tx>
            <c:strRef>
              <c:f>T3Report!$D$2</c:f>
              <c:strCache>
                <c:ptCount val="1"/>
                <c:pt idx="0">
                  <c:v>Lower cost</c:v>
                </c:pt>
              </c:strCache>
            </c:strRef>
          </c:tx>
          <c:spPr>
            <a:ln w="25400" cap="rnd">
              <a:noFill/>
              <a:round/>
            </a:ln>
            <a:effectLst/>
          </c:spPr>
          <c:marker>
            <c:symbol val="circle"/>
            <c:size val="5"/>
            <c:spPr>
              <a:solidFill>
                <a:schemeClr val="accent5"/>
              </a:solidFill>
              <a:ln w="9525">
                <a:solidFill>
                  <a:schemeClr val="accent5"/>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T3Report!$D$5</c:f>
              <c:numCache>
                <c:formatCode>_("$"* #,##0.00_);_("$"* \(#,##0.00\);_("$"* "-"??_);_(@_)</c:formatCode>
                <c:ptCount val="1"/>
                <c:pt idx="0">
                  <c:v>25822.107348902955</c:v>
                </c:pt>
              </c:numCache>
            </c:numRef>
          </c:xVal>
          <c:yVal>
            <c:numRef>
              <c:f>T3Report!$D$7</c:f>
              <c:numCache>
                <c:formatCode>General</c:formatCode>
                <c:ptCount val="1"/>
                <c:pt idx="0">
                  <c:v>893.05464755731248</c:v>
                </c:pt>
              </c:numCache>
            </c:numRef>
          </c:yVal>
          <c:smooth val="0"/>
          <c:extLst>
            <c:ext xmlns:c16="http://schemas.microsoft.com/office/drawing/2014/chart" uri="{C3380CC4-5D6E-409C-BE32-E72D297353CC}">
              <c16:uniqueId val="{00000005-9895-4CE9-B895-FED796B6EEDD}"/>
            </c:ext>
          </c:extLst>
        </c:ser>
        <c:ser>
          <c:idx val="5"/>
          <c:order val="5"/>
          <c:tx>
            <c:strRef>
              <c:f>T3Report!$F$2</c:f>
              <c:strCache>
                <c:ptCount val="1"/>
                <c:pt idx="0">
                  <c:v>Lower emissions</c:v>
                </c:pt>
              </c:strCache>
            </c:strRef>
          </c:tx>
          <c:spPr>
            <a:ln w="25400" cap="rnd">
              <a:noFill/>
              <a:round/>
            </a:ln>
            <a:effectLst/>
          </c:spPr>
          <c:marker>
            <c:symbol val="circle"/>
            <c:size val="5"/>
            <c:spPr>
              <a:solidFill>
                <a:schemeClr val="accent6"/>
              </a:solidFill>
              <a:ln w="9525">
                <a:solidFill>
                  <a:schemeClr val="accent6"/>
                </a:solidFill>
              </a:ln>
              <a:effectLst/>
            </c:spPr>
          </c:marker>
          <c:dLbls>
            <c:dLbl>
              <c:idx val="0"/>
              <c:layout>
                <c:manualLayout>
                  <c:x val="-0.15076585646229959"/>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8-9895-4CE9-B895-FED796B6EED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T3Report!$F$5</c:f>
              <c:numCache>
                <c:formatCode>_("$"* #,##0.00_);_("$"* \(#,##0.00\);_("$"* "-"??_);_(@_)</c:formatCode>
                <c:ptCount val="1"/>
                <c:pt idx="0">
                  <c:v>26163.302615441709</c:v>
                </c:pt>
              </c:numCache>
            </c:numRef>
          </c:xVal>
          <c:yVal>
            <c:numRef>
              <c:f>T3Report!$F$7</c:f>
              <c:numCache>
                <c:formatCode>General</c:formatCode>
                <c:ptCount val="1"/>
                <c:pt idx="0">
                  <c:v>418.68748629249012</c:v>
                </c:pt>
              </c:numCache>
            </c:numRef>
          </c:yVal>
          <c:smooth val="0"/>
          <c:extLst>
            <c:ext xmlns:c16="http://schemas.microsoft.com/office/drawing/2014/chart" uri="{C3380CC4-5D6E-409C-BE32-E72D297353CC}">
              <c16:uniqueId val="{00000006-9895-4CE9-B895-FED796B6EEDD}"/>
            </c:ext>
          </c:extLst>
        </c:ser>
        <c:dLbls>
          <c:dLblPos val="b"/>
          <c:showLegendKey val="0"/>
          <c:showVal val="1"/>
          <c:showCatName val="0"/>
          <c:showSerName val="0"/>
          <c:showPercent val="0"/>
          <c:showBubbleSize val="0"/>
        </c:dLbls>
        <c:axId val="1686604479"/>
        <c:axId val="1686603231"/>
      </c:scatterChart>
      <c:valAx>
        <c:axId val="1686604479"/>
        <c:scaling>
          <c:orientation val="minMax"/>
          <c:min val="257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AU"/>
                  <a:t>Cost per car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6603231"/>
        <c:crosses val="autoZero"/>
        <c:crossBetween val="midCat"/>
      </c:valAx>
      <c:valAx>
        <c:axId val="1686603231"/>
        <c:scaling>
          <c:orientation val="minMax"/>
          <c:max val="1300"/>
          <c:min val="3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AU"/>
                  <a:t>Emissions per car (kg-CO</a:t>
                </a:r>
                <a:r>
                  <a:rPr lang="en-AU" baseline="-25000"/>
                  <a:t>2</a:t>
                </a:r>
                <a:r>
                  <a:rPr lang="en-AU"/>
                  <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660447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xdr:col>
      <xdr:colOff>180974</xdr:colOff>
      <xdr:row>14</xdr:row>
      <xdr:rowOff>15874</xdr:rowOff>
    </xdr:from>
    <xdr:to>
      <xdr:col>8</xdr:col>
      <xdr:colOff>311149</xdr:colOff>
      <xdr:row>39</xdr:row>
      <xdr:rowOff>69849</xdr:rowOff>
    </xdr:to>
    <xdr:graphicFrame macro="">
      <xdr:nvGraphicFramePr>
        <xdr:cNvPr id="3" name="Chart 2">
          <a:extLst>
            <a:ext uri="{FF2B5EF4-FFF2-40B4-BE49-F238E27FC236}">
              <a16:creationId xmlns:a16="http://schemas.microsoft.com/office/drawing/2014/main" id="{818CE3D3-3791-0D4D-ADA3-B943FAC2604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au"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au"/>
    </sheetNames>
    <sheetDataSet>
      <sheetData sheetId="0" refreshError="1"/>
    </sheetDataSet>
  </externalBook>
</externalLink>
</file>

<file path=xl/richData/_rels/rdRichValueWebImage.xml.rels><?xml version="1.0" encoding="UTF-8" standalone="yes"?>
<Relationships xmlns="http://schemas.openxmlformats.org/package/2006/relationships"><Relationship Id="rId8" Type="http://schemas.openxmlformats.org/officeDocument/2006/relationships/hyperlink" Target="https://www.bing.com/images/search?form=xlimg&amp;q=tampico" TargetMode="External"/><Relationship Id="rId13" Type="http://schemas.openxmlformats.org/officeDocument/2006/relationships/hyperlink" Target="https://www.bing.com/th?id=AMMS_08d2869d43a589e2a364e67dfd999853&amp;qlt=95" TargetMode="External"/><Relationship Id="rId18" Type="http://schemas.openxmlformats.org/officeDocument/2006/relationships/hyperlink" Target="https://www.bing.com/images/search?form=xlimg&amp;q=south+korea" TargetMode="External"/><Relationship Id="rId3" Type="http://schemas.openxmlformats.org/officeDocument/2006/relationships/hyperlink" Target="https://www.bing.com/th?id=AMMS_8f636e3a9026f54a814b5a86b90d2876&amp;qlt=95" TargetMode="External"/><Relationship Id="rId21" Type="http://schemas.openxmlformats.org/officeDocument/2006/relationships/hyperlink" Target="https://www.bing.com/th?id=AMMS_1b72ca73cb6469fafbc58815752cb2db&amp;qlt=95" TargetMode="External"/><Relationship Id="rId7" Type="http://schemas.openxmlformats.org/officeDocument/2006/relationships/hyperlink" Target="https://www.bing.com/th?id=AMMS_5578374e3b666b625c3a66d4527e1b48&amp;qlt=95" TargetMode="External"/><Relationship Id="rId12" Type="http://schemas.openxmlformats.org/officeDocument/2006/relationships/hyperlink" Target="https://www.bing.com/images/search?form=xlimg&amp;q=italy" TargetMode="External"/><Relationship Id="rId17" Type="http://schemas.openxmlformats.org/officeDocument/2006/relationships/hyperlink" Target="https://www.bing.com/th?id=AMMS_c7cb2fa08620fe760e36f6372909e54b&amp;qlt=95" TargetMode="External"/><Relationship Id="rId2" Type="http://schemas.openxmlformats.org/officeDocument/2006/relationships/hyperlink" Target="https://www.bing.com/images/search?form=xlimg&amp;q=germany" TargetMode="External"/><Relationship Id="rId16" Type="http://schemas.openxmlformats.org/officeDocument/2006/relationships/hyperlink" Target="https://www.bing.com/images/search?form=xlimg&amp;q=russia" TargetMode="External"/><Relationship Id="rId20" Type="http://schemas.openxmlformats.org/officeDocument/2006/relationships/hyperlink" Target="https://www.bing.com/images/search?form=xlimg&amp;q=seattle" TargetMode="External"/><Relationship Id="rId1" Type="http://schemas.openxmlformats.org/officeDocument/2006/relationships/hyperlink" Target="https://www.bing.com/th?id=AMMS_170e62536294e690a4ae289472616a73&amp;qlt=95" TargetMode="External"/><Relationship Id="rId6" Type="http://schemas.openxmlformats.org/officeDocument/2006/relationships/hyperlink" Target="https://www.bing.com/images/search?form=xlimg&amp;q=china" TargetMode="External"/><Relationship Id="rId11" Type="http://schemas.openxmlformats.org/officeDocument/2006/relationships/hyperlink" Target="https://www.bing.com/th?id=AMMS_b27013579e3d08f399a04de9a32ac104&amp;qlt=95" TargetMode="External"/><Relationship Id="rId24" Type="http://schemas.openxmlformats.org/officeDocument/2006/relationships/hyperlink" Target="https://www.bing.com/images/search?form=xlimg&amp;q=australia" TargetMode="External"/><Relationship Id="rId5" Type="http://schemas.openxmlformats.org/officeDocument/2006/relationships/hyperlink" Target="https://www.bing.com/th?id=AMMS_e4398ddce352c97429d2472a6a6471ea&amp;qlt=95" TargetMode="External"/><Relationship Id="rId15" Type="http://schemas.openxmlformats.org/officeDocument/2006/relationships/hyperlink" Target="https://www.bing.com/th?id=AMMS_f15d3f9416b3bdd9c4271c3c03c13d2a&amp;qlt=95" TargetMode="External"/><Relationship Id="rId23" Type="http://schemas.openxmlformats.org/officeDocument/2006/relationships/hyperlink" Target="https://www.bing.com/th?id=AMMS_607d2ba21c8c3faae5d7f75eb3b4917e&amp;qlt=95" TargetMode="External"/><Relationship Id="rId10" Type="http://schemas.openxmlformats.org/officeDocument/2006/relationships/hyperlink" Target="https://www.bing.com/images/search?form=xlimg&amp;q=united+states" TargetMode="External"/><Relationship Id="rId19" Type="http://schemas.openxmlformats.org/officeDocument/2006/relationships/hyperlink" Target="https://www.bing.com/th?id=AMMS_348b88a346e44ffe38a8fd278b585309&amp;qlt=95" TargetMode="External"/><Relationship Id="rId4" Type="http://schemas.openxmlformats.org/officeDocument/2006/relationships/hyperlink" Target="https://www.bing.com/images/search?form=xlimg&amp;q=india" TargetMode="External"/><Relationship Id="rId9" Type="http://schemas.openxmlformats.org/officeDocument/2006/relationships/hyperlink" Target="https://www.bing.com/th?id=AMMS_eacb69bc4c31823fb17872127a01601a&amp;qlt=95" TargetMode="External"/><Relationship Id="rId14" Type="http://schemas.openxmlformats.org/officeDocument/2006/relationships/hyperlink" Target="https://www.bing.com/images/search?form=xlimg&amp;q=united+kingdom" TargetMode="External"/><Relationship Id="rId22" Type="http://schemas.openxmlformats.org/officeDocument/2006/relationships/hyperlink" Target="https://www.bing.com/images/search?form=xlimg&amp;q=canada+country" TargetMode="Externa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2">
      <keyFlags>
        <key name="%EntityService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cvi">
          <flag name="ShowInCardView" value="0"/>
          <flag name="ShowInDotNotation" value="0"/>
          <flag name="ShowInAutoComplete" value="0"/>
          <flag name="ExcludeFromCalcComparison" value="1"/>
        </key>
      </keyFlags>
    </type>
    <type name="_linkedentity2core">
      <keyFlags>
        <key name="%EntityService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DataRetrievedTime">
          <flag name="ShowInCardView" value="0"/>
          <flag name="ShowInDotNotation" value="0"/>
          <flag name="ShowInAutoComplete" value="0"/>
          <flag name="ExcludeFromCalcComparison" value="1"/>
        </key>
        <key name="%EntityDomainIdString">
          <flag name="ShowInCardView" value="0"/>
          <flag name="ShowInDotNotation" value="0"/>
          <flag name="ShowInAutoComplete" value="0"/>
        </key>
        <key name="%InfoToolTipLabelNames">
          <flag name="ShowInCardView" value="0"/>
          <flag name="ShowInDotNotation" value="0"/>
          <flag name="ShowInAutoComplete" value="0"/>
        </key>
        <key name="%InfoToolTipLabelValues">
          <flag name="ShowInCardView" value="0"/>
          <flag name="ShowInDotNotation" value="0"/>
          <flag name="ShowInAutoComplete" value="0"/>
        </key>
        <key name="%InfoToolTipLabelValuesType">
          <flag name="ShowInCardView" value="0"/>
          <flag name="ShowInDotNotation" value="0"/>
          <flag name="ShowInAutoComplete" value="0"/>
        </key>
        <key name="%DataProviderString">
          <flag name="ShowInCardView" value="0"/>
          <flag name="ShowInDotNotation" value="0"/>
          <flag name="ShowInAutoComplete" value="0"/>
        </key>
        <key name="%ClassificationId">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moreImagesAddress r:id="rId2"/>
  </webImageSrd>
  <webImageSrd>
    <address r:id="rId3"/>
    <moreImagesAddress r:id="rId4"/>
  </webImageSrd>
  <webImageSrd>
    <address r:id="rId5"/>
    <moreImagesAddress r:id="rId6"/>
  </webImageSrd>
  <webImageSrd>
    <address r:id="rId7"/>
    <moreImagesAddress r:id="rId8"/>
  </webImageSrd>
  <webImageSrd>
    <address r:id="rId9"/>
    <moreImagesAddress r:id="rId10"/>
  </webImageSrd>
  <webImageSrd>
    <address r:id="rId11"/>
    <moreImagesAddress r:id="rId12"/>
  </webImageSrd>
  <webImageSrd>
    <address r:id="rId13"/>
    <moreImagesAddress r:id="rId14"/>
  </webImageSrd>
  <webImageSrd>
    <address r:id="rId15"/>
    <moreImagesAddress r:id="rId16"/>
  </webImageSrd>
  <webImageSrd>
    <address r:id="rId17"/>
    <moreImagesAddress r:id="rId18"/>
  </webImageSrd>
  <webImageSrd>
    <address r:id="rId19"/>
    <moreImagesAddress r:id="rId20"/>
  </webImageSrd>
  <webImageSrd>
    <address r:id="rId21"/>
    <moreImagesAddress r:id="rId22"/>
  </webImageSrd>
  <webImageSrd>
    <address r:id="rId23"/>
    <moreImagesAddress r:id="rId24"/>
  </webImageSrd>
</webImagesSrd>
</file>

<file path=xl/richData/rdarray.xml><?xml version="1.0" encoding="utf-8"?>
<arrayData xmlns="http://schemas.microsoft.com/office/spreadsheetml/2017/richdata2" count="82">
  <a r="1">
    <v t="r">4</v>
  </a>
  <a r="2">
    <v t="s">Central European Time Zone</v>
    <v t="s">W. Europe Standard Time</v>
  </a>
  <a r="4">
    <v t="r">30</v>
    <v t="r">31</v>
    <v t="r">32</v>
    <v t="r">32</v>
  </a>
  <a r="1">
    <v t="s">German</v>
  </a>
  <a r="16">
    <v t="r">51</v>
    <v t="r">16</v>
    <v t="r">52</v>
    <v t="r">53</v>
    <v t="r">54</v>
    <v t="r">55</v>
    <v t="s">Thuringia</v>
    <v t="r">56</v>
    <v t="r">57</v>
    <v t="r">58</v>
    <v t="r">59</v>
    <v t="r">60</v>
    <v t="r">61</v>
    <v t="r">62</v>
    <v t="r">63</v>
    <v t="r">64</v>
  </a>
  <a r="2">
    <v t="s">Central European Summer Time</v>
    <v t="s">Central European Time Zone</v>
  </a>
  <a r="1">
    <v t="s">R. Priya (Mayor)</v>
  </a>
  <a r="1">
    <v t="s">Indian Standard Time</v>
  </a>
  <a r="10">
    <v t="r">104</v>
    <v t="r">105</v>
    <v t="r">106</v>
    <v t="r">107</v>
    <v t="r">108</v>
    <v t="r">109</v>
    <v t="r">110</v>
    <v t="r">111</v>
    <v t="r">112</v>
    <v t="r">113</v>
  </a>
  <a r="2">
    <v t="s">Hindi</v>
    <v t="s">Indian English</v>
  </a>
  <a r="35">
    <v t="r">73</v>
    <v t="r">132</v>
    <v t="r">133</v>
    <v t="r">134</v>
    <v t="r">135</v>
    <v t="r">136</v>
    <v t="r">137</v>
    <v t="r">138</v>
    <v t="r">139</v>
    <v t="r">140</v>
    <v t="r">141</v>
    <v t="r">142</v>
    <v t="r">143</v>
    <v t="r">144</v>
    <v t="r">145</v>
    <v t="r">146</v>
    <v t="r">147</v>
    <v t="r">148</v>
    <v t="r">149</v>
    <v t="r">150</v>
    <v t="r">151</v>
    <v t="r">152</v>
    <v t="r">153</v>
    <v t="r">154</v>
    <v t="r">155</v>
    <v t="r">156</v>
    <v t="r">157</v>
    <v t="r">158</v>
    <v t="r">159</v>
    <v t="r">160</v>
    <v t="r">161</v>
    <v t="r">162</v>
    <v t="r">163</v>
    <v t="r">164</v>
    <v t="s">Geography of Jammu and Kashmir</v>
  </a>
  <a r="1">
    <v t="s">Chadchart Sittipunt (Governor)</v>
  </a>
  <a r="2">
    <v t="s">SE Asia Standard Time</v>
    <v t="s">Thailand Time Zone</v>
  </a>
  <a r="10">
    <v t="r">196</v>
    <v t="r">197</v>
    <v t="r">198</v>
    <v t="r">199</v>
    <v t="r">200</v>
    <v t="s">Anutin Charnvirakul (Minister)</v>
    <v t="r">201</v>
    <v t="s">Thonmanat Phromphan (Minister)</v>
    <v t="s">Prapat Phothasuthan (Minister)</v>
    <v t="s">Chalermchai Srichang (Minister)</v>
  </a>
  <a r="1">
    <v t="s">Thai</v>
  </a>
  <a r="2">
    <v t="r">171</v>
    <v t="r">219</v>
  </a>
  <a r="1">
    <v t="s">Thailand Time Zone</v>
  </a>
  <a r="1">
    <v t="s">Chen Shaowang (Mayor)</v>
  </a>
  <a r="1">
    <v t="s">China Standard Time</v>
  </a>
  <a r="2">
    <v t="r">258</v>
    <v t="r">259</v>
  </a>
  <a r="1">
    <v t="s">Standard Chinese</v>
  </a>
  <a r="34">
    <v t="r">277</v>
    <v t="r">278</v>
    <v t="r">279</v>
    <v t="r">243</v>
    <v t="r">280</v>
    <v t="r">257</v>
    <v t="r">281</v>
    <v t="r">282</v>
    <v t="r">283</v>
    <v t="r">284</v>
    <v t="r">285</v>
    <v t="r">286</v>
    <v t="r">287</v>
    <v t="r">288</v>
    <v t="r">289</v>
    <v t="r">290</v>
    <v t="r">291</v>
    <v t="r">292</v>
    <v t="r">293</v>
    <v t="r">294</v>
    <v t="r">295</v>
    <v t="r">296</v>
    <v t="r">297</v>
    <v t="r">298</v>
    <v t="r">299</v>
    <v t="r">300</v>
    <v t="r">228</v>
    <v t="r">301</v>
    <v t="r">302</v>
    <v t="s">Taiwan Province, People's Republic of China</v>
    <v t="r">303</v>
    <v t="r">304</v>
    <v t="r">305</v>
    <v t="r">306</v>
  </a>
  <a r="2">
    <v t="s">Chinese</v>
    <v t="s">English</v>
  </a>
  <a r="2">
    <v t="s">Hong Kong Time Zone</v>
    <v t="s">China Standard Time</v>
  </a>
  <a r="1">
    <v t="s">Jesús Antonio Nader Nasrallah (Mayor)</v>
  </a>
  <a r="2">
    <v t="s">Central Time Zone</v>
    <v t="s">Central Standard Time (Mexico)</v>
  </a>
  <a r="1">
    <v t="r">371</v>
  </a>
  <a r="1">
    <v t="s">None</v>
  </a>
  <a r="32">
    <v t="r">358</v>
    <v t="r">390</v>
    <v t="r">342</v>
    <v t="r">391</v>
    <v t="r">392</v>
    <v t="r">393</v>
    <v t="r">394</v>
    <v t="r">395</v>
    <v t="r">396</v>
    <v t="r">397</v>
    <v t="r">398</v>
    <v t="r">399</v>
    <v t="r">400</v>
    <v t="r">401</v>
    <v t="r">402</v>
    <v t="r">403</v>
    <v t="r">404</v>
    <v t="r">405</v>
    <v t="r">406</v>
    <v t="r">407</v>
    <v t="r">408</v>
    <v t="r">409</v>
    <v t="r">410</v>
    <v t="r">411</v>
    <v t="r">412</v>
    <v t="r">413</v>
    <v t="r">414</v>
    <v t="r">415</v>
    <v t="r">416</v>
    <v t="r">417</v>
    <v t="r">418</v>
    <v t="r">419</v>
  </a>
  <a r="2">
    <v t="s">Van R. Johnson (Mayor)</v>
    <v t="s">Pat Monahan (City manager)</v>
  </a>
  <a r="1">
    <v t="s">Eastern Time Zone</v>
  </a>
  <a r="2">
    <v t="r">457</v>
    <v t="r">458</v>
  </a>
  <a r="59">
    <v t="r">475</v>
    <v t="r">456</v>
    <v t="r">476</v>
    <v t="r">477</v>
    <v t="r">478</v>
    <v t="r">479</v>
    <v t="r">480</v>
    <v t="r">481</v>
    <v t="r">482</v>
    <v t="r">483</v>
    <v t="r">484</v>
    <v t="r">443</v>
    <v t="r">485</v>
    <v t="r">486</v>
    <v t="r">487</v>
    <v t="r">488</v>
    <v t="r">489</v>
    <v t="r">490</v>
    <v t="r">491</v>
    <v t="r">492</v>
    <v t="r">493</v>
    <v t="r">494</v>
    <v t="r">495</v>
    <v t="r">496</v>
    <v t="r">497</v>
    <v t="r">498</v>
    <v t="r">499</v>
    <v t="r">500</v>
    <v t="r">501</v>
    <v t="r">502</v>
    <v t="r">503</v>
    <v t="r">504</v>
    <v t="r">505</v>
    <v t="r">506</v>
    <v t="r">507</v>
    <v t="r">508</v>
    <v t="r">509</v>
    <v t="r">510</v>
    <v t="r">511</v>
    <v t="r">512</v>
    <v t="r">513</v>
    <v t="r">514</v>
    <v t="r">515</v>
    <v t="r">516</v>
    <v t="r">427</v>
    <v t="r">517</v>
    <v t="r">518</v>
    <v t="r">519</v>
    <v t="r">520</v>
    <v t="r">521</v>
    <v t="r">522</v>
    <v t="r">523</v>
    <v t="r">524</v>
    <v t="r">525</v>
    <v t="r">526</v>
    <v t="r">527</v>
    <v t="r">528</v>
    <v t="r">529</v>
    <v t="r">530</v>
  </a>
  <a r="9">
    <v t="s">Chamorro Time Zone</v>
    <v t="s">Atlantic Time Zone</v>
    <v t="s">Eastern Time Zone</v>
    <v t="s">Central Time Zone</v>
    <v t="s">Mountain Time Zone</v>
    <v t="s">Pacific Time Zone</v>
    <v t="s">Alaska Time Zone</v>
    <v t="s">Hawaii-Aleutian Time Zone</v>
    <v t="s">Samoa Time Zone</v>
  </a>
  <a r="1">
    <v t="s">E. South America Standard Time</v>
  </a>
  <a r="4">
    <v t="r">567</v>
    <v t="s">Milton Ribeiro (Minister)</v>
    <v t="s">Eduardo Pazuello (Minister)</v>
    <v t="r">568</v>
  </a>
  <a r="1">
    <v t="s">Portuguese</v>
  </a>
  <a r="27">
    <v t="r">587</v>
    <v t="r">588</v>
    <v t="r">589</v>
    <v t="r">590</v>
    <v t="r">591</v>
    <v t="r">592</v>
    <v t="r">593</v>
    <v t="r">594</v>
    <v t="r">595</v>
    <v t="r">596</v>
    <v t="r">597</v>
    <v t="r">539</v>
    <v t="r">598</v>
    <v t="r">599</v>
    <v t="r">600</v>
    <v t="r">601</v>
    <v t="r">602</v>
    <v t="r">603</v>
    <v t="r">604</v>
    <v t="r">605</v>
    <v t="r">606</v>
    <v t="r">607</v>
    <v t="r">608</v>
    <v t="r">609</v>
    <v t="r">610</v>
    <v t="r">611</v>
    <v t="r">612</v>
  </a>
  <a r="3">
    <v t="s">Fernando de Noronha Time Zone</v>
    <v t="s">Brasília Time Zone</v>
    <v t="s">Amazon Time Zone</v>
  </a>
  <a r="1">
    <v t="s">Mxolisi Kaunda (Mayor)</v>
  </a>
  <a r="1">
    <v t="s">South Africa Time Zone</v>
  </a>
  <a r="3">
    <v t="r">650</v>
    <v t="r">651</v>
    <v t="r">652</v>
  </a>
  <a r="28">
    <v t="s">Afrikaans</v>
    <v t="s">English</v>
    <v t="s">Xhosa</v>
    <v t="s">German</v>
    <v t="s">Zulu</v>
    <v t="s">Sotho language</v>
    <v t="s">South African English</v>
    <v t="s">Portuguese</v>
    <v t="s">Tswana</v>
    <v t="s">Venda Language</v>
    <v t="s">Tsonga</v>
    <v t="s">Swati Language</v>
    <v t="s">Northern Sotho language</v>
    <v t="s">Southern Ndebele language</v>
    <v t="s">Telugu</v>
    <v t="s">Tamil</v>
    <v t="s">Greek</v>
    <v t="s">Arabic</v>
    <v t="s">Sanskrit</v>
    <v t="s">Hindi</v>
    <v t="s">Urdu</v>
    <v t="s">Hebrew</v>
    <v t="s">Gujarati</v>
    <v t="s">Khoisan languages</v>
    <v t="s">Nama</v>
    <v t="s">Languages of South Africa</v>
    <v t="s">Khoe languages</v>
    <v t="s">South African Sign Language</v>
  </a>
  <a r="9">
    <v t="r">670</v>
    <v t="r">621</v>
    <v t="r">671</v>
    <v t="r">672</v>
    <v t="r">673</v>
    <v t="r">674</v>
    <v t="r">675</v>
    <v t="r">676</v>
    <v t="r">677</v>
  </a>
  <a r="1">
    <v t="r">689</v>
  </a>
  <a r="10">
    <v t="s">Luciana Lamorgese (Minister)</v>
    <v t="r">714</v>
    <v t="r">715</v>
    <v t="s">Nunzia Catalfo (Minister)</v>
    <v t="r">716</v>
    <v t="r">717</v>
    <v t="s">Federico D'Incà (Minister)</v>
    <v t="s">Peppe Provenzano (Minister)</v>
    <v t="s">Elena Bonetti (Minister)</v>
    <v t="s">Paola Pisano (Minister)</v>
  </a>
  <a r="1">
    <v t="s">Italian</v>
  </a>
  <a r="127">
    <v t="r">734</v>
    <v t="r">735</v>
    <v t="r">736</v>
    <v t="s">Province of Mantua</v>
    <v t="s">Province of Como</v>
    <v t="r">737</v>
    <v t="r">738</v>
    <v t="r">739</v>
    <v t="r">740</v>
    <v t="s">Province of Verona</v>
    <v t="r">741</v>
    <v t="s">Province of Ancona</v>
    <v t="r">742</v>
    <v t="r">743</v>
    <v t="r">744</v>
    <v t="r">685</v>
    <v t="r">745</v>
    <v t="r">746</v>
    <v t="r">747</v>
    <v t="r">748</v>
    <v t="r">749</v>
    <v t="r">750</v>
    <v t="r">751</v>
    <v t="s">Province of Siena</v>
    <v t="s">Province of Belluno</v>
    <v t="r">752</v>
    <v t="s">Province of Cremona</v>
    <v t="r">753</v>
    <v t="s">Province of Trapani</v>
    <v t="s">Province of Treviso</v>
    <v t="s">Province of Cuneo</v>
    <v t="s">Province of Ferrara</v>
    <v t="r">754</v>
    <v t="s">Province of Genoa</v>
    <v t="r">755</v>
    <v t="s">Province of Cosenza</v>
    <v t="r">756</v>
    <v t="r">757</v>
    <v t="s">Province of Livorno</v>
    <v t="s">Metropolitan City of Catania</v>
    <v t="s">Province of Benevento</v>
    <v t="r">758</v>
    <v t="s">Province of Lecce</v>
    <v t="r">759</v>
    <v t="s">Province of Pisa</v>
    <v t="s">South Tyrol</v>
    <v t="s">Province of Agrigento</v>
    <v t="s">Province of Vicenza</v>
    <v t="s">Province of L'Aquila</v>
    <v t="s">Province of Trieste</v>
    <v t="s">Province of Asti</v>
    <v t="s">Province of Udine</v>
    <v t="s">Province of Forlì-Cesena</v>
    <v t="s">Province of Lucca</v>
    <v t="r">760</v>
    <v t="s">Province of Bergamo</v>
    <v t="s">Province of Foggia</v>
    <v t="s">Province of Catanzaro</v>
    <v t="s">Province of Sassari</v>
    <v t="s">Province of Savona</v>
    <v t="s">Province of Pordenone</v>
    <v t="r">761</v>
    <v t="s">Province of Cagliari</v>
    <v t="s">Province of Enna</v>
    <v t="s">Province of Teramo</v>
    <v t="r">762</v>
    <v t="r">763</v>
    <v t="s">Province of Lodi</v>
    <v t="s">Province of Padua</v>
    <v t="s">Province of Vercelli</v>
    <v t="s">Province of Avellino</v>
    <v t="s">Province of Viterbo</v>
    <v t="s">Province of Monza and Brianza</v>
    <v t="s">Province of Macerata</v>
    <v t="s">Province of Pavia</v>
    <v t="r">764</v>
    <v t="s">Province of Frosinone</v>
    <v t="s">Province of Grosseto</v>
    <v t="s">Province of Potenza</v>
    <v t="s">Province of Piacenza</v>
    <v t="s">Province of La Spezia</v>
    <v t="s">Province of Novara</v>
    <v t="r">765</v>
    <v t="s">Province of Rovigo</v>
    <v t="s">Province of Salerno</v>
    <v t="s">Province of Latina</v>
    <v t="s">Province of Ravenna</v>
    <v t="s">Province of Pesaro and Urbino</v>
    <v t="s">Province of Rieti</v>
    <v t="r">766</v>
    <v t="s">Province of Arezzo</v>
    <v t="s">Province of Pescara</v>
    <v t="s">Province of Biella</v>
    <v t="s">Province of Lecco</v>
    <v t="r">767</v>
    <v t="s">Province of Reggio Emilia</v>
    <v t="r">768</v>
    <v t="s">Province of Pistoia</v>
    <v t="s">Province of Fermo</v>
    <v t="s">Province of Perugia</v>
    <v t="s">Province of Ragusa</v>
    <v t="s">Province of Caserta</v>
    <v t="s">Province of Imperia</v>
    <v t="s">Province of Varese</v>
    <v t="r">769</v>
    <v t="s">Province of Sondrio</v>
    <v t="s">Province of Oristano</v>
    <v t="s">Province of Rimini</v>
    <v t="s">Province of Brindisi</v>
    <v t="r">770</v>
    <v t="s">Province of Chieti</v>
    <v t="s">Province of Gorizia</v>
    <v t="r">771</v>
    <v t="s">Province of Barletta-Andria-Trani</v>
    <v t="s">Province of Terni</v>
    <v t="s">Province of Crotone</v>
    <v t="s">Province of Matera</v>
    <v t="s">Province of Prato</v>
    <v t="r">772</v>
    <v t="r">773</v>
    <v t="r">774</v>
    <v t="s">Metropolitan City of Palermo</v>
    <v t="r">775</v>
    <v t="r">776</v>
    <v t="s">Metropolitan City of Messina</v>
    <v t="r">777</v>
    <v t="s">Province of Syracuse</v>
  </a>
  <a r="1">
    <v t="r">790</v>
  </a>
  <a r="2">
    <v t="s">British Summer Time</v>
    <v t="s">Greenwich Mean Time Zone</v>
  </a>
  <a r="4">
    <v t="r">815</v>
    <v t="r">816</v>
    <v t="r">817</v>
    <v t="r">818</v>
  </a>
  <a r="1">
    <v t="s">English</v>
  </a>
  <a r="150">
    <v t="r">835</v>
    <v t="r">836</v>
    <v t="r">837</v>
    <v t="r">785</v>
    <v t="r">838</v>
    <v t="r">839</v>
    <v t="r">840</v>
    <v t="r">841</v>
    <v t="r">842</v>
    <v t="r">843</v>
    <v t="r">844</v>
    <v t="r">845</v>
    <v t="r">846</v>
    <v t="r">847</v>
    <v t="r">848</v>
    <v t="r">849</v>
    <v t="r">850</v>
    <v t="r">851</v>
    <v t="r">852</v>
    <v t="r">853</v>
    <v t="r">854</v>
    <v t="r">855</v>
    <v t="r">856</v>
    <v t="r">857</v>
    <v t="r">858</v>
    <v t="r">859</v>
    <v t="r">860</v>
    <v t="r">861</v>
    <v t="r">862</v>
    <v t="r">863</v>
    <v t="r">864</v>
    <v t="r">865</v>
    <v t="r">866</v>
    <v t="r">867</v>
    <v t="r">868</v>
    <v t="r">869</v>
    <v t="r">870</v>
    <v t="r">871</v>
    <v t="r">872</v>
    <v t="r">873</v>
    <v t="r">874</v>
    <v t="r">875</v>
    <v t="r">876</v>
    <v t="r">877</v>
    <v t="r">878</v>
    <v t="r">879</v>
    <v t="r">880</v>
    <v t="r">881</v>
    <v t="r">882</v>
    <v t="r">883</v>
    <v t="r">884</v>
    <v t="r">885</v>
    <v t="r">886</v>
    <v t="r">887</v>
    <v t="r">888</v>
    <v t="r">889</v>
    <v t="r">890</v>
    <v t="r">891</v>
    <v t="r">892</v>
    <v t="r">893</v>
    <v t="r">894</v>
    <v t="r">895</v>
    <v t="r">896</v>
    <v t="r">897</v>
    <v t="r">898</v>
    <v t="r">899</v>
    <v t="r">900</v>
    <v t="r">901</v>
    <v t="r">902</v>
    <v t="r">903</v>
    <v t="r">904</v>
    <v t="r">905</v>
    <v t="r">906</v>
    <v t="r">907</v>
    <v t="r">908</v>
    <v t="r">909</v>
    <v t="r">910</v>
    <v t="r">911</v>
    <v t="r">912</v>
    <v t="r">913</v>
    <v t="r">914</v>
    <v t="r">915</v>
    <v t="r">916</v>
    <v t="r">917</v>
    <v t="r">918</v>
    <v t="r">919</v>
    <v t="r">920</v>
    <v t="r">921</v>
    <v t="r">922</v>
    <v t="r">923</v>
    <v t="r">924</v>
    <v t="r">925</v>
    <v t="r">926</v>
    <v t="r">927</v>
    <v t="r">928</v>
    <v t="r">929</v>
    <v t="r">930</v>
    <v t="r">931</v>
    <v t="r">932</v>
    <v t="r">933</v>
    <v t="r">934</v>
    <v t="r">935</v>
    <v t="r">936</v>
    <v t="r">937</v>
    <v t="r">938</v>
    <v t="r">939</v>
    <v t="r">940</v>
    <v t="r">941</v>
    <v t="r">942</v>
    <v t="r">943</v>
    <v t="r">944</v>
    <v t="r">945</v>
    <v t="r">946</v>
    <v t="r">947</v>
    <v t="r">948</v>
    <v t="r">949</v>
    <v t="s">Metropolitan Borough of Knowsley</v>
    <v t="r">950</v>
    <v t="s">Metropolitan Borough of Wirral</v>
    <v t="r">951</v>
    <v t="r">952</v>
    <v t="r">953</v>
    <v t="r">954</v>
    <v t="r">955</v>
    <v t="r">956</v>
    <v t="r">957</v>
    <v t="r">958</v>
    <v t="r">959</v>
    <v t="r">960</v>
    <v t="r">961</v>
    <v t="r">962</v>
    <v t="r">963</v>
    <v t="r">964</v>
    <v t="r">965</v>
    <v t="r">966</v>
    <v t="r">967</v>
    <v t="r">968</v>
    <v t="r">969</v>
    <v t="r">970</v>
    <v t="r">971</v>
    <v t="s">Outer Hebrides</v>
    <v t="r">972</v>
    <v t="r">973</v>
    <v t="r">974</v>
    <v t="r">975</v>
    <v t="r">976</v>
    <v t="r">977</v>
    <v t="r">978</v>
    <v t="r">979</v>
    <v t="r">980</v>
  </a>
  <a r="3">
    <v t="s">British Summer Time</v>
    <v t="s">Greenwich Mean Time Zone</v>
    <v t="s">Western European Time Zone</v>
  </a>
  <a r="1">
    <v t="r">991</v>
  </a>
  <a r="2">
    <v t="s">Moscow Time Zone</v>
    <v t="s">Russian Standard Time</v>
  </a>
  <a r="2">
    <v t="r">1015</v>
    <v t="s">Mikhail Mishustin (Prime Minister)</v>
  </a>
  <a r="1">
    <v t="s">Russian</v>
  </a>
  <a r="81">
    <v t="r">988</v>
    <v t="r">1032</v>
    <v t="r">1033</v>
    <v t="r">1034</v>
    <v t="r">1035</v>
    <v t="r">1036</v>
    <v t="r">1037</v>
    <v t="r">1038</v>
    <v t="r">1039</v>
    <v t="r">1040</v>
    <v t="r">1041</v>
    <v t="r">1042</v>
    <v t="r">1043</v>
    <v t="r">1044</v>
    <v t="r">1045</v>
    <v t="r">1046</v>
    <v t="r">1047</v>
    <v t="r">1048</v>
    <v t="r">1049</v>
    <v t="r">1050</v>
    <v t="r">1051</v>
    <v t="r">1052</v>
    <v t="r">1053</v>
    <v t="r">1054</v>
    <v t="r">1055</v>
    <v t="r">1056</v>
    <v t="r">1057</v>
    <v t="r">1058</v>
    <v t="r">1059</v>
    <v t="r">1060</v>
    <v t="r">1061</v>
    <v t="r">1062</v>
    <v t="r">1063</v>
    <v t="r">1064</v>
    <v t="r">1065</v>
    <v t="r">1066</v>
    <v t="r">1067</v>
    <v t="r">1068</v>
    <v t="r">1069</v>
    <v t="r">1070</v>
    <v t="r">1071</v>
    <v t="r">1072</v>
    <v t="r">1073</v>
    <v t="r">1074</v>
    <v t="r">1075</v>
    <v t="r">1076</v>
    <v t="r">1077</v>
    <v t="r">1078</v>
    <v t="r">1079</v>
    <v t="r">1080</v>
    <v t="r">1081</v>
    <v t="r">1082</v>
    <v t="r">1083</v>
    <v t="r">1084</v>
    <v t="r">1085</v>
    <v t="r">1086</v>
    <v t="r">1087</v>
    <v t="r">1088</v>
    <v t="r">1089</v>
    <v t="r">1090</v>
    <v t="r">1091</v>
    <v t="r">1092</v>
    <v t="r">1093</v>
    <v t="r">1094</v>
    <v t="r">1095</v>
    <v t="r">1096</v>
    <v t="r">1097</v>
    <v t="r">1098</v>
    <v t="r">1099</v>
    <v t="r">1100</v>
    <v t="r">1101</v>
    <v t="r">1102</v>
    <v t="r">1103</v>
    <v t="r">1104</v>
    <v t="r">1105</v>
    <v t="r">1106</v>
    <v t="r">1107</v>
    <v t="r">1108</v>
    <v t="r">1109</v>
    <v t="r">1110</v>
    <v t="r">1111</v>
  </a>
  <a r="9">
    <v t="s">Magadan Time Zone</v>
    <v t="s">Vladivostok Standard Time</v>
    <v t="s">Yakutsk Time Zone</v>
    <v t="s">Irkutsk Time Zone</v>
    <v t="s">Krasnoyarsk Time Zone</v>
    <v t="s">Omsk Time Zone</v>
    <v t="s">Yekaterinburg Time Zone</v>
    <v t="s">Kaliningrad Time</v>
    <v t="s">Moscow Time Zone</v>
  </a>
  <a r="1">
    <v t="s">Park Heong-joon (Mayor)</v>
  </a>
  <a r="1">
    <v t="s">Korea Standard Time</v>
  </a>
  <a r="2">
    <v t="r">1147</v>
    <v t="s">Yoon Seok-youl (President)</v>
  </a>
  <a r="2">
    <v t="s">Korean</v>
    <v t="s">Korean Sign Language</v>
  </a>
  <a r="17">
    <v t="r">1133</v>
    <v t="r">1164</v>
    <v t="r">1165</v>
    <v t="r">1166</v>
    <v t="r">1167</v>
    <v t="r">1118</v>
    <v t="r">1168</v>
    <v t="r">1169</v>
    <v t="r">1170</v>
    <v t="r">1171</v>
    <v t="r">1172</v>
    <v t="r">1173</v>
    <v t="r">1174</v>
    <v t="r">1175</v>
    <v t="r">1176</v>
    <v t="r">1177</v>
    <v t="r">1178</v>
  </a>
  <a r="1">
    <v t="r">1189</v>
  </a>
  <a r="1">
    <v t="s">Pacific Time Zone</v>
  </a>
  <a r="1">
    <v t="r">1201</v>
  </a>
  <a r="1">
    <v t="r">1212</v>
  </a>
  <a r="1">
    <v t="r">1237</v>
  </a>
  <a r="4">
    <v t="s">French</v>
    <v t="s">English</v>
    <v t="s">Canadian English</v>
    <v t="s">Canadian French</v>
  </a>
  <a r="14">
    <v t="r">1255</v>
    <v t="r">1208</v>
    <v t="r">1256</v>
    <v t="r">1257</v>
    <v t="r">1258</v>
    <v t="r">1259</v>
    <v t="r">1260</v>
    <v t="r">1261</v>
    <v t="r">1262</v>
    <v t="r">1263</v>
    <v t="r">1264</v>
    <v t="r">1265</v>
    <v t="r">1266</v>
    <v t="r">1267</v>
  </a>
  <a r="6">
    <v t="s">Newfoundland Time Zone</v>
    <v t="s">Atlantic Time Zone</v>
    <v t="s">Eastern Time Zone</v>
    <v t="s">Central Time Zone</v>
    <v t="s">Mountain Time Zone</v>
    <v t="s">Pacific Time Zone</v>
  </a>
  <a r="2">
    <v t="s">Australian Eastern Time Zone</v>
    <v t="s">AUS Eastern Standard Time</v>
  </a>
  <a r="4">
    <v t="r">1304</v>
    <v t="r">1305</v>
    <v t="r">1306</v>
    <v t="r">1307</v>
  </a>
  <a r="8">
    <v t="r">1323</v>
    <v t="r">1276</v>
    <v t="r">1324</v>
    <v t="r">1325</v>
    <v t="r">1326</v>
    <v t="r">1327</v>
    <v t="r">1328</v>
    <v t="r">1329</v>
  </a>
  <a r="12">
    <v t="s">Norfolk Time Zone</v>
    <v t="s">Lord Howe Time Zone</v>
    <v t="s">Australian Eastern Time Zone</v>
    <v t="s">Australian Central Time Zone</v>
    <v t="s">Central Western Time Zone</v>
    <v t="s">Australian Western Time Zone</v>
    <v t="s">Casey Time Zone</v>
    <v t="s">Christmas Island Time Zone</v>
    <v t="s">Davis Time Zone</v>
    <v t="s">Cocos Islands Time Zone</v>
    <v t="s">Heard and McDonald Islands Time Zone</v>
    <v t="s">Mawson Station Time Zone</v>
  </a>
  <a r="2">
    <v t="s">Gulf Time Zone</v>
    <v t="s">Arabian Standard Time</v>
  </a>
  <a r="2">
    <v t="r">1361</v>
    <v t="r">1362</v>
  </a>
  <a r="1">
    <v t="s">Arabic</v>
  </a>
  <a r="5">
    <v t="r">1337</v>
    <v t="r">1378</v>
    <v t="r">1379</v>
    <v t="r">1380</v>
    <v t="s">Fujairah</v>
  </a>
  <a r="1">
    <v t="s">Gulf Time Zone</v>
  </a>
</arrayData>
</file>

<file path=xl/richData/rdrichvalue.xml><?xml version="1.0" encoding="utf-8"?>
<rvData xmlns="http://schemas.microsoft.com/office/spreadsheetml/2017/richdata" count="1388">
  <rv s="0">
    <v>536870912</v>
    <v>Munich</v>
    <v>7f38f401-452d-d25b-059c-487e14b70a85</v>
    <v>en-AU</v>
    <v>Map</v>
  </rv>
  <rv s="1">
    <fb>310.43</fb>
    <v>11</v>
  </rv>
  <rv s="0">
    <v>536870912</v>
    <v>Germany</v>
    <v>75c62d8e-1449-4e4d-b188-d9e88f878dd9</v>
    <v>en-AU</v>
    <v>Map</v>
  </rv>
  <rv s="1">
    <fb>48.139126400000002</fb>
    <v>12</v>
  </rv>
  <rv s="0">
    <v>805306368</v>
    <v>Dieter Reiter (Mayor)</v>
    <v>acfb7447-f4f8-7b17-3e8a-8a0d8e31ceb9</v>
    <v>en-AU</v>
    <v>Generic</v>
  </rv>
  <rv s="2">
    <v>0</v>
  </rv>
  <rv s="3">
    <v>https://www.bing.com/search?q=munich+germany&amp;form=skydnc</v>
    <v>Learn more on Bing</v>
  </rv>
  <rv s="1">
    <fb>11.5802189</fb>
    <v>12</v>
  </rv>
  <rv s="1">
    <fb>1539740</fb>
    <v>11</v>
  </rv>
  <rv s="2">
    <v>1</v>
  </rv>
  <rv s="4">
    <v>#VALUE!</v>
    <v>en-AU</v>
    <v>7f38f401-452d-d25b-059c-487e14b70a85</v>
    <v>536870912</v>
    <v>1</v>
    <v>3</v>
    <v>4</v>
    <v>Munich</v>
    <v>7</v>
    <v>8</v>
    <v>Map</v>
    <v>9</v>
    <v>10</v>
    <v>1</v>
    <v>2</v>
    <v>Munich is the capital and most populous city of the German state of Bavaria. With a population of 1,558,395 inhabitants as of 31 July 2020, it is the third-largest city in Germany, after Berlin and Hamburg, and thus the largest which does not constitute its own state, as well as the 11th-largest city in the European Union. The city's metropolitan region is home to 6 million people. Straddling the banks of the River Isar north of the Bavarian Alps, Munich is the seat of the Bavarian administrative region of Upper Bavaria, while being the most densely populated municipality in Germany. Munich is the second-largest city in the Bavarian dialect area, after the Austrian capital of Vienna.</v>
    <v>3</v>
    <v>5</v>
    <v>6</v>
    <v>7</v>
    <v>Munich</v>
    <v>8</v>
    <v>9</v>
    <v>Munich</v>
    <v>mdp/vdpid/7021484408976703489</v>
  </rv>
  <rv s="1">
    <fb>0.47678612319670299</fb>
    <v>37</v>
  </rv>
  <rv s="1">
    <fb>357022</fb>
    <v>11</v>
  </rv>
  <rv s="1">
    <fb>180000</fb>
    <v>11</v>
  </rv>
  <rv s="1">
    <fb>9.5</fb>
    <v>38</v>
  </rv>
  <rv s="1">
    <fb>49</fb>
    <v>39</v>
  </rv>
  <rv s="0">
    <v>536870912</v>
    <v>Berlin</v>
    <v>42784943-7c23-7672-5527-06f89b965cdf</v>
    <v>en-AU</v>
    <v>Map</v>
  </rv>
  <rv s="1">
    <fb>727972.84</fb>
    <v>11</v>
  </rv>
  <rv s="1">
    <fb>112.854887342124</fb>
    <v>40</v>
  </rv>
  <rv s="1">
    <fb>1.4456670146976E-2</fb>
    <v>37</v>
  </rv>
  <rv s="1">
    <fb>7035.4829747167596</fb>
    <v>11</v>
  </rv>
  <rv s="1">
    <fb>1.56</fb>
    <v>38</v>
  </rv>
  <rv s="1">
    <fb>0.326912067781085</fb>
    <v>37</v>
  </rv>
  <rv s="1">
    <fb>78.862551056754995</fb>
    <v>41</v>
  </rv>
  <rv s="1">
    <fb>1.39</fb>
    <v>42</v>
  </rv>
  <rv s="1">
    <fb>3845630030823.52</fb>
    <v>43</v>
  </rv>
  <rv s="1">
    <fb>1.0402236</fb>
    <v>37</v>
  </rv>
  <rv s="1">
    <fb>0.70246649999999999</fb>
    <v>37</v>
  </rv>
  <rv s="5">
    <v>0</v>
    <v>9</v>
    <v>44</v>
    <v>6</v>
    <v>0</v>
    <v>Image of Germany</v>
  </rv>
  <rv s="1">
    <fb>3.1</fb>
    <v>41</v>
  </rv>
  <rv s="0">
    <v>805306368</v>
    <v>Olaf Scholz (Chancellor)</v>
    <v>d327207b-5560-1fae-17a8-4bc95203ea8e</v>
    <v>en-AU</v>
    <v>Generic</v>
  </rv>
  <rv s="0">
    <v>805306368</v>
    <v>Peter Altmaier (Minister)</v>
    <v>3d95f70d-7234-720a-54cb-ed3fa7fffd7f</v>
    <v>en-AU</v>
    <v>Generic</v>
  </rv>
  <rv s="0">
    <v>805306368</v>
    <v>Frank-Walter Steinmeier (President)</v>
    <v>a6d595f9-116c-57de-2b35-48e9bde9f83d</v>
    <v>en-AU</v>
    <v>Generic</v>
  </rv>
  <rv s="2">
    <v>2</v>
  </rv>
  <rv s="3">
    <v>https://www.bing.com/search?q=germany&amp;form=skydnc</v>
    <v>Learn more on Bing</v>
  </rv>
  <rv s="1">
    <fb>80.892682926829295</fb>
    <v>41</v>
  </rv>
  <rv s="1">
    <fb>2098173930000</fb>
    <v>43</v>
  </rv>
  <rv s="1">
    <fb>7</fb>
    <v>41</v>
  </rv>
  <rv s="1">
    <fb>9.99</fb>
    <v>42</v>
  </rv>
  <rv s="2">
    <v>3</v>
  </rv>
  <rv s="1">
    <fb>0.12528421940000001</fb>
    <v>37</v>
  </rv>
  <rv s="1">
    <fb>4.2488000000000001</fb>
    <v>38</v>
  </rv>
  <rv s="1">
    <fb>83132799</fb>
    <v>11</v>
  </rv>
  <rv s="1">
    <fb>0.22800000000000001</fb>
    <v>37</v>
  </rv>
  <rv s="1">
    <fb>0.24600000000000002</fb>
    <v>37</v>
  </rv>
  <rv s="1">
    <fb>0.39600000000000002</fb>
    <v>37</v>
  </rv>
  <rv s="1">
    <fb>2.8999999999999998E-2</fb>
    <v>37</v>
  </rv>
  <rv s="1">
    <fb>7.5999999999999998E-2</fb>
    <v>37</v>
  </rv>
  <rv s="1">
    <fb>0.128</fb>
    <v>37</v>
  </rv>
  <rv s="1">
    <fb>0.17100000000000001</fb>
    <v>37</v>
  </rv>
  <rv s="1">
    <fb>0.60811000823974604</fb>
    <v>37</v>
  </rv>
  <rv s="0">
    <v>536870912</v>
    <v>Hamburg</v>
    <v>0937ec8c-54f7-94c7-d7b8-0ea8c6cfce6f</v>
    <v>en-AU</v>
    <v>Map</v>
  </rv>
  <rv s="0">
    <v>536870912</v>
    <v>Bavaria</v>
    <v>e4f7e69f-e1bc-189a-d23d-b2ecee6a88d5</v>
    <v>en-AU</v>
    <v>Map</v>
  </rv>
  <rv s="0">
    <v>536870912</v>
    <v>Brandenburg</v>
    <v>c841173c-24ae-1249-8be1-c2ff2ec02111</v>
    <v>en-AU</v>
    <v>Map</v>
  </rv>
  <rv s="0">
    <v>536870912</v>
    <v>Saxony</v>
    <v>db04ed86-d227-952f-dbae-2881e92d2d0a</v>
    <v>en-AU</v>
    <v>Map</v>
  </rv>
  <rv s="0">
    <v>536870912</v>
    <v>Saarland</v>
    <v>077b3058-0078-d492-aee0-52b8d21ee39e</v>
    <v>en-AU</v>
    <v>Map</v>
  </rv>
  <rv s="0">
    <v>536870912</v>
    <v>Schleswig-Holstein</v>
    <v>6dde426c-96c7-18bd-f4e1-b41b7575557a</v>
    <v>en-AU</v>
    <v>Map</v>
  </rv>
  <rv s="0">
    <v>536870912</v>
    <v>North Rhine-Westphalia</v>
    <v>7192ac29-308b-9018-2da7-1d16b5afb233</v>
    <v>en-AU</v>
    <v>Map</v>
  </rv>
  <rv s="0">
    <v>536870912</v>
    <v>Baden-Württemberg</v>
    <v>e4767d1d-15fd-a8bd-1fcd-f8214d3c189f</v>
    <v>en-AU</v>
    <v>Map</v>
  </rv>
  <rv s="0">
    <v>536870912</v>
    <v>Mecklenburg-Vorpommern</v>
    <v>b0adc1b4-6fe2-3ad0-81e1-78c9ba53cedb</v>
    <v>en-AU</v>
    <v>Map</v>
  </rv>
  <rv s="0">
    <v>536870912</v>
    <v>Lower Saxony</v>
    <v>c91589e2-9db8-e9f2-b60d-1000c3502bc2</v>
    <v>en-AU</v>
    <v>Map</v>
  </rv>
  <rv s="0">
    <v>536870912</v>
    <v>Hesse</v>
    <v>90fbe078-3753-40db-ff12-40aa58e76c5f</v>
    <v>en-AU</v>
    <v>Map</v>
  </rv>
  <rv s="0">
    <v>536870912</v>
    <v>Saxony-Anhalt</v>
    <v>6af91c75-020d-7d63-0e2d-ab73f9f73280</v>
    <v>en-AU</v>
    <v>Map</v>
  </rv>
  <rv s="0">
    <v>536870912</v>
    <v>Rhineland-Palatinate</v>
    <v>b2634da1-26f3-4709-d63d-9f9489a33d9c</v>
    <v>en-AU</v>
    <v>Map</v>
  </rv>
  <rv s="0">
    <v>536870912</v>
    <v>Bremen</v>
    <v>70a6262d-6ded-6a1a-8a3d-e24538d50a05</v>
    <v>en-AU</v>
    <v>Map</v>
  </rv>
  <rv s="2">
    <v>4</v>
  </rv>
  <rv s="1">
    <fb>0.11505903952014901</fb>
    <v>37</v>
  </rv>
  <rv s="2">
    <v>5</v>
  </rv>
  <rv s="1">
    <fb>0.48799999999999999</fb>
    <v>37</v>
  </rv>
  <rv s="1">
    <fb>3.0429999828338602E-2</fb>
    <v>45</v>
  </rv>
  <rv s="1">
    <fb>64324835</fb>
    <v>11</v>
  </rv>
  <rv s="6">
    <v>#VALUE!</v>
    <v>en-AU</v>
    <v>75c62d8e-1449-4e4d-b188-d9e88f878dd9</v>
    <v>536870912</v>
    <v>1</v>
    <v>33</v>
    <v>34</v>
    <v>Germany</v>
    <v>7</v>
    <v>35</v>
    <v>Map</v>
    <v>9</v>
    <v>36</v>
    <v>DE</v>
    <v>11</v>
    <v>12</v>
    <v>13</v>
    <v>14</v>
    <v>15</v>
    <v>16</v>
    <v>17</v>
    <v>18</v>
    <v>19</v>
    <v>EUR</v>
    <v>Germany, by formality the Federal Republic of Germany, is a country in Central Europe. It is the second most populous country in Europe after Russia, and the most populous member state of the European Union. Germany is situated between the Baltic and North seas to the north, and the Alps to the south; it covers an area of 357,022 square kilometres, with a population of over 83 million within its 16 constituent states. Germany borders Denmark to the north, Poland and the Czech Republic to the east, Austria and Switzerland to the south, and France, Luxembourg, Belgium, and the Netherlands to the west. The nation's capital and largest city is Berlin and its financial centre is Frankfurt; the largest urban area is the Ruhr.</v>
    <v>20</v>
    <v>21</v>
    <v>22</v>
    <v>23</v>
    <v>24</v>
    <v>25</v>
    <v>26</v>
    <v>27</v>
    <v>28</v>
    <v>29</v>
    <v>16</v>
    <v>33</v>
    <v>34</v>
    <v>35</v>
    <v>36</v>
    <v>37</v>
    <v>38</v>
    <v>Germany</v>
    <v>Deutschlandlied</v>
    <v>39</v>
    <v>Federal Republic of Germany</v>
    <v>40</v>
    <v>41</v>
    <v>42</v>
    <v>43</v>
    <v>44</v>
    <v>45</v>
    <v>46</v>
    <v>47</v>
    <v>48</v>
    <v>49</v>
    <v>50</v>
    <v>65</v>
    <v>66</v>
    <v>67</v>
    <v>68</v>
    <v>69</v>
    <v>Germany</v>
    <v>70</v>
    <v>mdp/vdpid/94</v>
  </rv>
  <rv s="0">
    <v>536870912</v>
    <v>Chennai</v>
    <v>d97acf5c-0a2b-cd2c-e895-ef8aa64b883b</v>
    <v>en-AU</v>
    <v>Map</v>
  </rv>
  <rv s="0">
    <v>536870912</v>
    <v>Tamil Nadu</v>
    <v>6e3e5a82-8737-a613-1d99-0b4d68370109</v>
    <v>en-AU</v>
    <v>Map</v>
  </rv>
  <rv s="0">
    <v>536870912</v>
    <v>Chennai district</v>
    <v>545d0b8c-14ff-f557-6235-7e3b843b3537</v>
    <v>en-AU</v>
    <v>Map</v>
  </rv>
  <rv s="1">
    <fb>426</fb>
    <v>11</v>
  </rv>
  <rv s="0">
    <v>536870912</v>
    <v>India</v>
    <v>85fa63d3-9596-adb9-b4eb-502273d84f56</v>
    <v>en-AU</v>
    <v>Map</v>
  </rv>
  <rv s="1">
    <fb>13.066955999999999</fb>
    <v>12</v>
  </rv>
  <rv s="2">
    <v>6</v>
  </rv>
  <rv s="3">
    <v>https://www.bing.com/search?q=chennai&amp;form=skydnc</v>
    <v>Learn more on Bing</v>
  </rv>
  <rv s="1">
    <fb>80.169300000000007</fb>
    <v>12</v>
  </rv>
  <rv s="1">
    <fb>7088000</fb>
    <v>11</v>
  </rv>
  <rv s="2">
    <v>7</v>
  </rv>
  <rv s="7">
    <v>#VALUE!</v>
    <v>en-AU</v>
    <v>d97acf5c-0a2b-cd2c-e895-ef8aa64b883b</v>
    <v>536870912</v>
    <v>1</v>
    <v>50</v>
    <v>51</v>
    <v>Chennai</v>
    <v>7</v>
    <v>8</v>
    <v>Map</v>
    <v>9</v>
    <v>52</v>
    <v>73</v>
    <v>74</v>
    <v>75</v>
    <v>76</v>
    <v>Chennai, also known as Madras, is the capital city of the Indian state of Tamil Nadu. The state's largest city in area and population as well, Chennai is located on the Coromandel Coast of the Bay of Bengal, and is the most prominent cultural, economic and educational centre of South India.</v>
    <v>77</v>
    <v>78</v>
    <v>79</v>
    <v>80</v>
    <v>Chennai</v>
    <v>81</v>
    <v>82</v>
    <v>Chennai</v>
    <v>mdp/vdpid/7472814627122839553</v>
  </rv>
  <rv s="1">
    <fb>0.60447196445568596</fb>
    <v>37</v>
  </rv>
  <rv s="1">
    <fb>3287263</fb>
    <v>11</v>
  </rv>
  <rv s="1">
    <fb>3031000</fb>
    <v>11</v>
  </rv>
  <rv s="1">
    <fb>17.856999999999999</fb>
    <v>38</v>
  </rv>
  <rv s="1">
    <fb>91</fb>
    <v>39</v>
  </rv>
  <rv s="0">
    <v>536870912</v>
    <v>New Delhi</v>
    <v>b474d3c7-a39a-d5ba-7426-18e00042f03e</v>
    <v>en-AU</v>
    <v>Map</v>
  </rv>
  <rv s="1">
    <fb>2407671.5260000001</fb>
    <v>11</v>
  </rv>
  <rv s="1">
    <fb>180.43581241118</fb>
    <v>40</v>
  </rv>
  <rv s="1">
    <fb>7.6596947427925291E-2</fb>
    <v>37</v>
  </rv>
  <rv s="1">
    <fb>804.51422808927896</fb>
    <v>11</v>
  </rv>
  <rv s="1">
    <fb>2.222</fb>
    <v>38</v>
  </rv>
  <rv s="1">
    <fb>0.23833121474746</fb>
    <v>37</v>
  </rv>
  <rv s="1">
    <fb>73.576979087800794</fb>
    <v>41</v>
  </rv>
  <rv s="1">
    <fb>0.97</fb>
    <v>42</v>
  </rv>
  <rv s="1">
    <fb>2611000000000.0098</fb>
    <v>43</v>
  </rv>
  <rv s="1">
    <fb>1.1295785999999999</fb>
    <v>37</v>
  </rv>
  <rv s="1">
    <fb>0.28060550000000001</fb>
    <v>37</v>
  </rv>
  <rv s="5">
    <v>1</v>
    <v>9</v>
    <v>63</v>
    <v>6</v>
    <v>0</v>
    <v>Image of India</v>
  </rv>
  <rv s="1">
    <fb>29.9</fb>
    <v>41</v>
  </rv>
  <rv s="0">
    <v>536870912</v>
    <v>Kurebhar</v>
    <v>569c78c5-65db-1b70-c201-09e40a0ec28e</v>
    <v>en-AU</v>
    <v>Map</v>
  </rv>
  <rv s="0">
    <v>805306368</v>
    <v>Ram Nath Kovind (President)</v>
    <v>a42f5c17-4611-c316-bfe4-c2c9b57841b4</v>
    <v>en-AU</v>
    <v>Generic</v>
  </rv>
  <rv s="0">
    <v>805306368</v>
    <v>Amit Shah (Minister)</v>
    <v>2d9a8abc-8fa4-620b-cf5f-c5c212f38516</v>
    <v>en-AU</v>
    <v>Generic</v>
  </rv>
  <rv s="0">
    <v>805306368</v>
    <v>Smriti Irani (Minister)</v>
    <v>07b03f43-2af0-f150-1933-2c74e7a63b0a</v>
    <v>en-AU</v>
    <v>Generic</v>
  </rv>
  <rv s="0">
    <v>805306368</v>
    <v>Mahendra Nath Pandey (Minister)</v>
    <v>fcb8bc0a-59ba-26c3-5fac-7f3bcec1d3ab</v>
    <v>en-AU</v>
    <v>Generic</v>
  </rv>
  <rv s="0">
    <v>805306368</v>
    <v>Rajnath Singh (Minister)</v>
    <v>7dd7d84c-a149-b920-f49d-043dc1e0de75</v>
    <v>en-AU</v>
    <v>Generic</v>
  </rv>
  <rv s="0">
    <v>805306368</v>
    <v>Nirmala Sitharaman (Minister)</v>
    <v>2f88c75b-5285-dbaf-1376-14da212339a3</v>
    <v>en-AU</v>
    <v>Generic</v>
  </rv>
  <rv s="0">
    <v>805306368</v>
    <v>Subrahmanyam Jaishankar (Minister)</v>
    <v>11b3306b-7a3f-4e42-9df9-6c5ceee18ef9</v>
    <v>en-AU</v>
    <v>Generic</v>
  </rv>
  <rv s="0">
    <v>805306368</v>
    <v>Piyush Goyal (Minister)</v>
    <v>9cf6adbd-c797-d4e0-b6bb-7a409e789cb3</v>
    <v>en-AU</v>
    <v>Generic</v>
  </rv>
  <rv s="0">
    <v>805306368</v>
    <v>Arjun Munda (Minister)</v>
    <v>40445594-35c2-fe65-cbad-296daad999dc</v>
    <v>en-AU</v>
    <v>Generic</v>
  </rv>
  <rv s="0">
    <v>805306368</v>
    <v>Ravi Shankar Prasad (Minister)</v>
    <v>45141aa8-42a8-9ec1-ad7f-fb3f6f83b047</v>
    <v>en-AU</v>
    <v>Generic</v>
  </rv>
  <rv s="2">
    <v>8</v>
  </rv>
  <rv s="3">
    <v>https://www.bing.com/search?q=india&amp;form=skydnc</v>
    <v>Learn more on Bing</v>
  </rv>
  <rv s="1">
    <fb>69.415999999999997</fb>
    <v>41</v>
  </rv>
  <rv s="1">
    <fb>2179781240000</fb>
    <v>43</v>
  </rv>
  <rv s="1">
    <fb>145</fb>
    <v>41</v>
  </rv>
  <rv s="1">
    <fb>0.3</fb>
    <v>42</v>
  </rv>
  <rv s="2">
    <v>9</v>
  </rv>
  <rv s="1">
    <fb>0.65060906480000003</fb>
    <v>37</v>
  </rv>
  <rv s="1">
    <fb>0.85709999999999997</fb>
    <v>38</v>
  </rv>
  <rv s="1">
    <fb>1366417754</fb>
    <v>11</v>
  </rv>
  <rv s="1">
    <fb>0.20300000000000001</fb>
    <v>37</v>
  </rv>
  <rv s="1">
    <fb>0.317</fb>
    <v>37</v>
  </rv>
  <rv s="1">
    <fb>0.46200000000000002</fb>
    <v>37</v>
  </rv>
  <rv s="1">
    <fb>3.3000000000000002E-2</fb>
    <v>37</v>
  </rv>
  <rv s="1">
    <fb>7.6999999999999999E-2</fb>
    <v>37</v>
  </rv>
  <rv s="1">
    <fb>0.111</fb>
    <v>37</v>
  </rv>
  <rv s="1">
    <fb>0.14699999999999999</fb>
    <v>37</v>
  </rv>
  <rv s="1">
    <fb>0.49292999267578097</fb>
    <v>37</v>
  </rv>
  <rv s="0">
    <v>536870912</v>
    <v>Uttar Pradesh</v>
    <v>f624b656-1585-9836-7a98-128016c67d52</v>
    <v>en-AU</v>
    <v>Map</v>
  </rv>
  <rv s="0">
    <v>536870912</v>
    <v>Andaman and Nicobar Islands</v>
    <v>0543bce3-574a-8949-ac01-944cd0418886</v>
    <v>en-AU</v>
    <v>Map</v>
  </rv>
  <rv s="0">
    <v>536870912</v>
    <v>Arunachal Pradesh</v>
    <v>c2da5cc2-b1a0-f17a-707d-e5067136b9e9</v>
    <v>en-AU</v>
    <v>Map</v>
  </rv>
  <rv s="0">
    <v>536870912</v>
    <v>Goa</v>
    <v>d9bda1c6-a2c4-994c-5335-195386cef40a</v>
    <v>en-AU</v>
    <v>Map</v>
  </rv>
  <rv s="0">
    <v>536870912</v>
    <v>Delhi</v>
    <v>275e8ab8-7bd0-4633-9c89-0133be92e587</v>
    <v>en-AU</v>
    <v>Map</v>
  </rv>
  <rv s="0">
    <v>536870912</v>
    <v>Gujarat</v>
    <v>c70b768e-21ab-4f53-a356-564e8da2291e</v>
    <v>en-AU</v>
    <v>Map</v>
  </rv>
  <rv s="0">
    <v>536870912</v>
    <v>Andhra Pradesh</v>
    <v>9e3a52bb-38ae-c817-5cd2-7a8dd2a4c0e5</v>
    <v>en-AU</v>
    <v>Map</v>
  </rv>
  <rv s="0">
    <v>536870912</v>
    <v>Rajasthan</v>
    <v>58d414c6-9557-d15b-60ff-52f256e32345</v>
    <v>en-AU</v>
    <v>Map</v>
  </rv>
  <rv s="0">
    <v>536870912</v>
    <v>Uttarakhand</v>
    <v>41a39bbc-6b82-df10-b345-3afffff3985d</v>
    <v>en-AU</v>
    <v>Map</v>
  </rv>
  <rv s="0">
    <v>536870912</v>
    <v>Kerala</v>
    <v>9d932c0c-d3e6-abbd-5274-6b53036ca764</v>
    <v>en-AU</v>
    <v>Map</v>
  </rv>
  <rv s="0">
    <v>536870912</v>
    <v>Maharashtra</v>
    <v>8e20e4dc-1423-75a9-a049-5e500370aafa</v>
    <v>en-AU</v>
    <v>Map</v>
  </rv>
  <rv s="0">
    <v>536870912</v>
    <v>West Bengal</v>
    <v>067d886f-4d7d-8889-c8c7-d54e2dbc1cb8</v>
    <v>en-AU</v>
    <v>Map</v>
  </rv>
  <rv s="0">
    <v>536870912</v>
    <v>Bihar</v>
    <v>e402c108-ade8-40dd-b6d7-f36882e8e3e3</v>
    <v>en-AU</v>
    <v>Map</v>
  </rv>
  <rv s="0">
    <v>536870912</v>
    <v>Madhya Pradesh</v>
    <v>bcbcd891-852b-6dac-1671-8d00b9eae5ea</v>
    <v>en-AU</v>
    <v>Map</v>
  </rv>
  <rv s="0">
    <v>536870912</v>
    <v>Punjab</v>
    <v>d98d08e1-818e-a7ba-30a5-4637a11eec3e</v>
    <v>en-AU</v>
    <v>Map</v>
  </rv>
  <rv s="0">
    <v>536870912</v>
    <v>Manipur</v>
    <v>774dc6a3-56a4-d8f3-26d2-6e2536af50a5</v>
    <v>en-AU</v>
    <v>Map</v>
  </rv>
  <rv s="0">
    <v>536870912</v>
    <v>Karnataka</v>
    <v>216903eb-bbc1-497e-b914-8eb69db6f747</v>
    <v>en-AU</v>
    <v>Map</v>
  </rv>
  <rv s="0">
    <v>536870912</v>
    <v>Chandigarh</v>
    <v>10beaf9e-bdab-00b9-8037-79ffe16cf357</v>
    <v>en-AU</v>
    <v>Map</v>
  </rv>
  <rv s="0">
    <v>536870912</v>
    <v>Assam</v>
    <v>a9d4e5df-f559-c28f-dc41-7c72a82dfaf7</v>
    <v>en-AU</v>
    <v>Map</v>
  </rv>
  <rv s="0">
    <v>536870912</v>
    <v>Sikkim</v>
    <v>aa8e9a23-8c5b-d667-7f28-62e9ce93f9bd</v>
    <v>en-AU</v>
    <v>Map</v>
  </rv>
  <rv s="0">
    <v>536870912</v>
    <v>Odisha</v>
    <v>becca699-9820-c027-8e14-b5840348a600</v>
    <v>en-AU</v>
    <v>Map</v>
  </rv>
  <rv s="0">
    <v>536870912</v>
    <v>Nagaland</v>
    <v>9097c945-eb0e-f294-cb7f-43ad572c6903</v>
    <v>en-AU</v>
    <v>Map</v>
  </rv>
  <rv s="0">
    <v>536870912</v>
    <v>Haryana</v>
    <v>f50b36c9-0e06-9b0a-b657-100ebb295bb1</v>
    <v>en-AU</v>
    <v>Map</v>
  </rv>
  <rv s="0">
    <v>536870912</v>
    <v>Chhattisgarh</v>
    <v>91e8d1d3-b929-8697-13f5-91241ae0d1b6</v>
    <v>en-AU</v>
    <v>Map</v>
  </rv>
  <rv s="0">
    <v>536870912</v>
    <v>Mizoram</v>
    <v>a1dcfd92-e2ab-1111-48a2-8c885ebd1155</v>
    <v>en-AU</v>
    <v>Map</v>
  </rv>
  <rv s="0">
    <v>536870912</v>
    <v>Tripura</v>
    <v>a7fa8608-5e0d-f0d4-37a2-b87e3fe2b039</v>
    <v>en-AU</v>
    <v>Map</v>
  </rv>
  <rv s="0">
    <v>536870912</v>
    <v>Telangana</v>
    <v>19abdc7d-29ea-4ed5-99d8-3a1d7bc90b05</v>
    <v>en-AU</v>
    <v>Map</v>
  </rv>
  <rv s="0">
    <v>536870912</v>
    <v>Himachal Pradesh</v>
    <v>0e213229-adc2-378d-f093-949050fffa34</v>
    <v>en-AU</v>
    <v>Map</v>
  </rv>
  <rv s="0">
    <v>536870912</v>
    <v>Meghalaya</v>
    <v>b317786c-1e28-16cc-03ca-835f315a094d</v>
    <v>en-AU</v>
    <v>Map</v>
  </rv>
  <rv s="0">
    <v>536870912</v>
    <v>Jharkhand</v>
    <v>9cf33868-3d76-c243-1cd3-91dda44b77e3</v>
    <v>en-AU</v>
    <v>Map</v>
  </rv>
  <rv s="0">
    <v>536870912</v>
    <v>Lakshadweep</v>
    <v>90dcf823-b8a7-5ca7-11dd-dcf29ea357f2</v>
    <v>en-AU</v>
    <v>Map</v>
  </rv>
  <rv s="0">
    <v>536870912</v>
    <v>Dadra and Nagar Haveli</v>
    <v>15bc8541-5d7a-066b-4d9b-31821cb3f94e</v>
    <v>en-AU</v>
    <v>Map</v>
  </rv>
  <rv s="0">
    <v>536870912</v>
    <v>Daman and Diu</v>
    <v>6cc5ae73-aac4-1afd-9be5-2199d168555a</v>
    <v>en-AU</v>
    <v>Map</v>
  </rv>
  <rv s="2">
    <v>10</v>
  </rv>
  <rv s="1">
    <fb>0.111799218352875</fb>
    <v>37</v>
  </rv>
  <rv s="1">
    <fb>0.49700000000000005</fb>
    <v>37</v>
  </rv>
  <rv s="1">
    <fb>5.35500001907349E-2</fb>
    <v>45</v>
  </rv>
  <rv s="1">
    <fb>471031528</fb>
    <v>11</v>
  </rv>
  <rv s="6">
    <v>#VALUE!</v>
    <v>en-AU</v>
    <v>85fa63d3-9596-adb9-b4eb-502273d84f56</v>
    <v>536870912</v>
    <v>1</v>
    <v>61</v>
    <v>34</v>
    <v>India</v>
    <v>7</v>
    <v>35</v>
    <v>Map</v>
    <v>9</v>
    <v>62</v>
    <v>IN</v>
    <v>84</v>
    <v>85</v>
    <v>86</v>
    <v>87</v>
    <v>88</v>
    <v>89</v>
    <v>90</v>
    <v>91</v>
    <v>92</v>
    <v>INR</v>
    <v>India, officially the Republic of India, is a country in South Asia. It is the seventh-largest country by area, the second-most populous country, and the most populous democracy in the world. Bounded by the Indian Ocean on the south, the Arabian Sea on the southwest, and the Bay of Bengal on the southeast, it shares land borders with Pakistan to the west; China, Nepal, and Bhutan to the north; and Bangladesh and Myanmar to the east. In the Indian Ocean, India is in the vicinity of Sri Lanka and the Maldives; its Andaman and Nicobar Islands share a maritime border with Thailand, Myanmar and Indonesia.</v>
    <v>93</v>
    <v>94</v>
    <v>95</v>
    <v>96</v>
    <v>97</v>
    <v>98</v>
    <v>99</v>
    <v>100</v>
    <v>101</v>
    <v>102</v>
    <v>103</v>
    <v>114</v>
    <v>115</v>
    <v>116</v>
    <v>117</v>
    <v>118</v>
    <v>119</v>
    <v>India</v>
    <v>Jana Gana Mana</v>
    <v>120</v>
    <v>Republic of India</v>
    <v>121</v>
    <v>122</v>
    <v>123</v>
    <v>124</v>
    <v>125</v>
    <v>126</v>
    <v>127</v>
    <v>128</v>
    <v>129</v>
    <v>130</v>
    <v>131</v>
    <v>165</v>
    <v>166</v>
    <v>82</v>
    <v>167</v>
    <v>168</v>
    <v>India</v>
    <v>169</v>
    <v>mdp/vdpid/113</v>
  </rv>
  <rv s="0">
    <v>536870912</v>
    <v>Bangkok</v>
    <v>651e796f-a780-c032-4e9c-23e5f5fe5854</v>
    <v>en-AU</v>
    <v>Map</v>
  </rv>
  <rv s="1">
    <fb>1568.7370000000001</fb>
    <v>11</v>
  </rv>
  <rv s="0">
    <v>536870912</v>
    <v>Thailand</v>
    <v>588bd4b9-e440-b7eb-2cab-2a54c0458548</v>
    <v>en-AU</v>
    <v>Map</v>
  </rv>
  <rv s="2">
    <v>11</v>
  </rv>
  <rv s="3">
    <v>https://www.bing.com/search?q=bangkok+thailand&amp;form=skydnc</v>
    <v>Learn more on Bing</v>
  </rv>
  <rv s="1">
    <fb>8280925</fb>
    <v>11</v>
  </rv>
  <rv s="2">
    <v>12</v>
  </rv>
  <rv s="8">
    <v>#VALUE!</v>
    <v>en-AU</v>
    <v>651e796f-a780-c032-4e9c-23e5f5fe5854</v>
    <v>536870912</v>
    <v>1</v>
    <v>67</v>
    <v>68</v>
    <v>Bangkok</v>
    <v>7</v>
    <v>8</v>
    <v>Map</v>
    <v>9</v>
    <v>69</v>
    <v>TH-10</v>
    <v>172</v>
    <v>Thailand</v>
    <v>173</v>
    <v>Bangkok, officially known in Thai as Krung Thep Maha Nakhon and colloquially as Krung Thep, is the capital and most populous city of Thailand. The city occupies 1,568.7 square kilometres in the Chao Phraya River delta in central Thailand and has an estimated population of 10.539 million as of 2020, 15.3 percent of the country's population. Over 14 million people lived within the surrounding Bangkok Metropolitan Region at the 2010 census, making Bangkok an extreme primate city, dwarfing Thailand's other urban centres in both size and importance to the national economy.</v>
    <v>174</v>
    <v>175</v>
    <v>Bangkok</v>
    <v>176</v>
    <v>177</v>
    <v>Bangkok</v>
    <v>mdp/vdpid/7862880221702127623</v>
  </rv>
  <rv s="1">
    <fb>0.43277417839456594</fb>
    <v>37</v>
  </rv>
  <rv s="1">
    <fb>513120</fb>
    <v>11</v>
  </rv>
  <rv s="1">
    <fb>455000</fb>
    <v>11</v>
  </rv>
  <rv s="1">
    <fb>10.343999999999999</fb>
    <v>38</v>
  </rv>
  <rv s="1">
    <fb>66</fb>
    <v>39</v>
  </rv>
  <rv s="1">
    <fb>283763.46100000001</fb>
    <v>11</v>
  </rv>
  <rv s="1">
    <fb>113.265649996346</fb>
    <v>40</v>
  </rv>
  <rv s="1">
    <fb>7.0672860131430508E-3</fb>
    <v>37</v>
  </rv>
  <rv s="1">
    <fb>2538.79638035364</fb>
    <v>11</v>
  </rv>
  <rv s="1">
    <fb>1.5249999999999999</fb>
    <v>38</v>
  </rv>
  <rv s="1">
    <fb>0.32157607312728798</fb>
    <v>37</v>
  </rv>
  <rv s="1">
    <fb>79.839022650550007</fb>
    <v>41</v>
  </rv>
  <rv s="1">
    <fb>0.71</fb>
    <v>42</v>
  </rv>
  <rv s="1">
    <fb>543649976165.63</fb>
    <v>43</v>
  </rv>
  <rv s="1">
    <fb>0.99774360000000006</fb>
    <v>37</v>
  </rv>
  <rv s="1">
    <fb>0.49286810000000003</fb>
    <v>37</v>
  </rv>
  <rv s="1">
    <fb>7.8</fb>
    <v>41</v>
  </rv>
  <rv s="0">
    <v>805306368</v>
    <v>Vajiralongkorn (Monarch)</v>
    <v>838f8fba-7ce1-3cb6-caf3-eadcdd6d67c4</v>
    <v>en-AU</v>
    <v>Generic</v>
  </rv>
  <rv s="0">
    <v>805306368</v>
    <v>Prayut Chan-o-cha (Minister)</v>
    <v>7622e75d-77cc-211a-d452-897ca707b336</v>
    <v>en-AU</v>
    <v>Generic</v>
  </rv>
  <rv s="0">
    <v>805306368</v>
    <v>Prayut Chan-o-cha (Prime Minister)</v>
    <v>7622e75d-77cc-211a-d452-897ca707b336</v>
    <v>en-AU</v>
    <v>Generic</v>
  </rv>
  <rv s="0">
    <v>805306368</v>
    <v>Anupong Paochinda (Minister)</v>
    <v>2680e282-8deb-3f95-6f1f-a9b2b5ac7df5</v>
    <v>en-AU</v>
    <v>Generic</v>
  </rv>
  <rv s="0">
    <v>805306368</v>
    <v>Don Pramudwinai (Minister)</v>
    <v>78b6d92a-03e2-7a8a-abd6-691eb4cb41a5</v>
    <v>en-AU</v>
    <v>Generic</v>
  </rv>
  <rv s="0">
    <v>805306368</v>
    <v>Suriya Jungrungreangkit (Minister)</v>
    <v>d21c4678-3cc1-647a-2d1f-f647a8de0f18</v>
    <v>en-AU</v>
    <v>Generic</v>
  </rv>
  <rv s="2">
    <v>13</v>
  </rv>
  <rv s="3">
    <v>https://www.bing.com/search?q=thailand&amp;form=skydnc</v>
    <v>Learn more on Bing</v>
  </rv>
  <rv s="1">
    <fb>76.930999999999997</fb>
    <v>41</v>
  </rv>
  <rv s="1">
    <fb>569228320000</fb>
    <v>43</v>
  </rv>
  <rv s="1">
    <fb>37</fb>
    <v>41</v>
  </rv>
  <rv s="1">
    <fb>1.06</fb>
    <v>42</v>
  </rv>
  <rv s="2">
    <v>14</v>
  </rv>
  <rv s="1">
    <fb>0.11765354909999999</fb>
    <v>37</v>
  </rv>
  <rv s="1">
    <fb>0.80500000000000005</fb>
    <v>38</v>
  </rv>
  <rv s="1">
    <fb>69625582</fb>
    <v>11</v>
  </rv>
  <rv s="1">
    <fb>0.222</fb>
    <v>37</v>
  </rv>
  <rv s="1">
    <fb>0.28100000000000003</fb>
    <v>37</v>
  </rv>
  <rv s="1">
    <fb>0.44</fb>
    <v>37</v>
  </rv>
  <rv s="1">
    <fb>0.03</fb>
    <v>37</v>
  </rv>
  <rv s="1">
    <fb>7.2000000000000008E-2</fb>
    <v>37</v>
  </rv>
  <rv s="1">
    <fb>0.155</fb>
    <v>37</v>
  </rv>
  <rv s="1">
    <fb>0.67325996398925791</fb>
    <v>37</v>
  </rv>
  <rv s="0">
    <v>536870912</v>
    <v>Pattaya</v>
    <v>78d752de-d5ce-4e2d-456b-95abd4379871</v>
    <v>en-AU</v>
    <v>Map</v>
  </rv>
  <rv s="2">
    <v>15</v>
  </rv>
  <rv s="1">
    <fb>0.14927746956191601</fb>
    <v>37</v>
  </rv>
  <rv s="2">
    <v>16</v>
  </rv>
  <rv s="1">
    <fb>0.29499999999999998</fb>
    <v>37</v>
  </rv>
  <rv s="1">
    <fb>7.5400000810623199E-3</fb>
    <v>45</v>
  </rv>
  <rv s="1">
    <fb>35294600</fb>
    <v>11</v>
  </rv>
  <rv s="9">
    <v>#VALUE!</v>
    <v>en-AU</v>
    <v>588bd4b9-e440-b7eb-2cab-2a54c0458548</v>
    <v>536870912</v>
    <v>1</v>
    <v>77</v>
    <v>78</v>
    <v>Thailand</v>
    <v>7</v>
    <v>8</v>
    <v>Map</v>
    <v>9</v>
    <v>79</v>
    <v>TH</v>
    <v>179</v>
    <v>180</v>
    <v>181</v>
    <v>182</v>
    <v>183</v>
    <v>171</v>
    <v>184</v>
    <v>185</v>
    <v>186</v>
    <v>THB</v>
    <v>Thailand, historically known as Siam and officially the Kingdom of Thailand, is a country in Southeast Asia, located at the centre of Mainland Southeast Asia, spanning 513,120 square kilometres, with a population of almost 70 million. The country is bordered to the north by Myanmar and Laos, to the east by Laos and Cambodia, to the south by the Gulf of Thailand and Malaysia, and to the west by the Andaman Sea and the extremity of Myanmar. Thailand also shares maritime borders with Vietnam to the southeast, and Indonesia and India to the southwest. Thailand has experienced multiple coups and military dictatorships. Since 2019, it has been nominally a parliamentary constitutional monarchy; in practice, however, structural advantages in the constitution have ensured the military's hold on power. Bangkok is the nation's capital and largest city.</v>
    <v>187</v>
    <v>188</v>
    <v>189</v>
    <v>190</v>
    <v>191</v>
    <v>192</v>
    <v>193</v>
    <v>194</v>
    <v>195</v>
    <v>171</v>
    <v>202</v>
    <v>203</v>
    <v>204</v>
    <v>205</v>
    <v>206</v>
    <v>207</v>
    <v>Thailand</v>
    <v>Thai National Anthem</v>
    <v>208</v>
    <v>Kingdom of Thailand</v>
    <v>209</v>
    <v>210</v>
    <v>211</v>
    <v>212</v>
    <v>213</v>
    <v>214</v>
    <v>215</v>
    <v>216</v>
    <v>129</v>
    <v>217</v>
    <v>218</v>
    <v>220</v>
    <v>221</v>
    <v>222</v>
    <v>223</v>
    <v>224</v>
    <v>Thailand</v>
    <v>225</v>
    <v>mdp/vdpid/227</v>
  </rv>
  <rv s="0">
    <v>536870912</v>
    <v>Dalian</v>
    <v>92478562-ffee-bbe4-8c18-ed95d9654d6e</v>
    <v>en-AU</v>
    <v>Map</v>
  </rv>
  <rv s="0">
    <v>536870912</v>
    <v>Liaoning</v>
    <v>50b9b45b-7555-8f4e-500a-81f90d66f392</v>
    <v>en-AU</v>
    <v>Map</v>
  </rv>
  <rv s="1">
    <fb>13237</fb>
    <v>11</v>
  </rv>
  <rv s="0">
    <v>536870912</v>
    <v>China</v>
    <v>5fcc3d97-0cf2-94e5-6dad-cd70e387bd69</v>
    <v>en-AU</v>
    <v>Map</v>
  </rv>
  <rv s="1">
    <fb>38.920833000000002</fb>
    <v>12</v>
  </rv>
  <rv s="2">
    <v>17</v>
  </rv>
  <rv s="3">
    <v>https://www.bing.com/search?q=dalian&amp;form=skydnc</v>
    <v>Learn more on Bing</v>
  </rv>
  <rv s="1">
    <fb>121.639167</fb>
    <v>12</v>
  </rv>
  <rv s="1">
    <fb>7450785</fb>
    <v>11</v>
  </rv>
  <rv s="2">
    <v>18</v>
  </rv>
  <rv s="10">
    <v>#VALUE!</v>
    <v>en-AU</v>
    <v>92478562-ffee-bbe4-8c18-ed95d9654d6e</v>
    <v>536870912</v>
    <v>1</v>
    <v>84</v>
    <v>85</v>
    <v>Dalian</v>
    <v>7</v>
    <v>8</v>
    <v>Map</v>
    <v>9</v>
    <v>10</v>
    <v>228</v>
    <v>229</v>
    <v>230</v>
    <v>Dalian is a major sub-provincial port city in Liaoning province, People's Republic of China, and is Liaoning's second largest city and the third-most populous city of Northeast China. Located on the southern tip of Liaodong peninsula, it is the southernmost city in both Liaoning and the entire Northeast. Dalian borders the prefectural cities of Yingkou and Anshan to the north and Dandong to the northeast, and also shares maritime boundaries with Qinhuangdao and Huludao across the Liaodong Bay to west and northwest, Yantai and Weihai on the Shandong peninsula across the Bohai Strait to the south, and North Korea across the Korea Bay to the east.</v>
    <v>231</v>
    <v>232</v>
    <v>233</v>
    <v>234</v>
    <v>Dalian</v>
    <v>235</v>
    <v>236</v>
    <v>Dalian</v>
    <v>mdp/vdpid/7825597534516019201</v>
  </rv>
  <rv s="1">
    <fb>0.56212313103349798</fb>
    <v>37</v>
  </rv>
  <rv s="1">
    <fb>9596960</fb>
    <v>11</v>
  </rv>
  <rv s="1">
    <fb>2695000</fb>
    <v>11</v>
  </rv>
  <rv s="1">
    <fb>10.9</fb>
    <v>38</v>
  </rv>
  <rv s="1">
    <fb>86</fb>
    <v>39</v>
  </rv>
  <rv s="0">
    <v>536870912</v>
    <v>Beijing</v>
    <v>e43bc499-902a-5deb-aced-aa4a247e6822</v>
    <v>en-AU</v>
    <v>Map</v>
  </rv>
  <rv s="1">
    <fb>9893037.9519999996</fb>
    <v>11</v>
  </rv>
  <rv s="1">
    <fb>125.083155733959</fb>
    <v>40</v>
  </rv>
  <rv s="1">
    <fb>2.8992357992594101E-2</fb>
    <v>37</v>
  </rv>
  <rv s="1">
    <fb>3927.0444999890101</fb>
    <v>11</v>
  </rv>
  <rv s="1">
    <fb>1.69</fb>
    <v>38</v>
  </rv>
  <rv s="1">
    <fb>0.22353941805732902</fb>
    <v>37</v>
  </rv>
  <rv s="1">
    <fb>87.670430768185398</fb>
    <v>41</v>
  </rv>
  <rv s="1">
    <fb>0.96</fb>
    <v>42</v>
  </rv>
  <rv s="1">
    <fb>19910000000000</fb>
    <v>43</v>
  </rv>
  <rv s="1">
    <fb>1.0022275</fb>
    <v>37</v>
  </rv>
  <rv s="1">
    <fb>0.50604439999999995</fb>
    <v>37</v>
  </rv>
  <rv s="5">
    <v>2</v>
    <v>9</v>
    <v>97</v>
    <v>6</v>
    <v>0</v>
    <v>Image of China</v>
  </rv>
  <rv s="1">
    <fb>7.4</fb>
    <v>41</v>
  </rv>
  <rv s="0">
    <v>536870912</v>
    <v>Shanghai</v>
    <v>29ece984-463e-6074-60e1-83f8c012ef70</v>
    <v>en-AU</v>
    <v>Map</v>
  </rv>
  <rv s="0">
    <v>805306368</v>
    <v>Xi Jinping (President)</v>
    <v>cd954b68-481c-b388-8b3d-6c0081dc9adf</v>
    <v>en-AU</v>
    <v>Generic</v>
  </rv>
  <rv s="0">
    <v>805306368</v>
    <v>Li Keqiang (Premier)</v>
    <v>f1d08653-9327-ff05-215a-b26f0a4ad81c</v>
    <v>en-AU</v>
    <v>Generic</v>
  </rv>
  <rv s="2">
    <v>19</v>
  </rv>
  <rv s="3">
    <v>https://www.bing.com/search?q=china&amp;form=skydnc</v>
    <v>Learn more on Bing</v>
  </rv>
  <rv s="1">
    <fb>76.959999999999994</fb>
    <v>41</v>
  </rv>
  <rv s="1">
    <fb>8515504380000</fb>
    <v>43</v>
  </rv>
  <rv s="1">
    <fb>29</fb>
    <v>41</v>
  </rv>
  <rv s="1">
    <fb>0.87</fb>
    <v>42</v>
  </rv>
  <rv s="2">
    <v>20</v>
  </rv>
  <rv s="1">
    <fb>0.32386296240000001</fb>
    <v>37</v>
  </rv>
  <rv s="1">
    <fb>1.9798</fb>
    <v>38</v>
  </rv>
  <rv s="1">
    <fb>1397715000</fb>
    <v>11</v>
  </rv>
  <rv s="1">
    <fb>0.29299999999999998</fb>
    <v>37</v>
  </rv>
  <rv s="1">
    <fb>0.45299999999999996</fb>
    <v>37</v>
  </rv>
  <rv s="1">
    <fb>2.7000000000000003E-2</fb>
    <v>37</v>
  </rv>
  <rv s="1">
    <fb>6.5000000000000002E-2</fb>
    <v>37</v>
  </rv>
  <rv s="1">
    <fb>0.107</fb>
    <v>37</v>
  </rv>
  <rv s="1">
    <fb>0.153</fb>
    <v>37</v>
  </rv>
  <rv s="1">
    <fb>0.67986999511718804</fb>
    <v>37</v>
  </rv>
  <rv s="0">
    <v>536870912</v>
    <v>Macau</v>
    <v>d7203e23-120a-c7fd-485a-3fbcf88a3288</v>
    <v>en-AU</v>
    <v>Map</v>
  </rv>
  <rv s="0">
    <v>536870912</v>
    <v>Hong Kong</v>
    <v>304df1d5-38ee-e835-eb2a-554caba5c30e</v>
    <v>en-AU</v>
    <v>Map</v>
  </rv>
  <rv s="0">
    <v>536870912</v>
    <v>Sichuan</v>
    <v>49bf1471-e0d6-011f-bb5b-edd67fea0a6f</v>
    <v>en-AU</v>
    <v>Map</v>
  </rv>
  <rv s="0">
    <v>536870912</v>
    <v>Chongqing</v>
    <v>69bf0da4-4c0f-d795-e3d4-f2087fc9101e</v>
    <v>en-AU</v>
    <v>Map</v>
  </rv>
  <rv s="0">
    <v>536870912</v>
    <v>Hunan</v>
    <v>84852e67-826c-7232-5aec-3bd5a776c21b</v>
    <v>en-AU</v>
    <v>Map</v>
  </rv>
  <rv s="0">
    <v>536870912</v>
    <v>Fujian</v>
    <v>f7e228b4-20f3-6c06-f9d2-0e381cb472db</v>
    <v>en-AU</v>
    <v>Map</v>
  </rv>
  <rv s="0">
    <v>536870912</v>
    <v>Guangdong</v>
    <v>533d187e-5296-4200-eed8-55f3257c948f</v>
    <v>en-AU</v>
    <v>Map</v>
  </rv>
  <rv s="0">
    <v>536870912</v>
    <v>Yunnan</v>
    <v>62345ab8-b0e6-d4c5-87b4-0e7a5b39c7dc</v>
    <v>en-AU</v>
    <v>Map</v>
  </rv>
  <rv s="0">
    <v>536870912</v>
    <v>Jiangsu</v>
    <v>c979b1db-2e4e-7b88-511f-1cd5a525053c</v>
    <v>en-AU</v>
    <v>Map</v>
  </rv>
  <rv s="0">
    <v>536870912</v>
    <v>Tianjin</v>
    <v>45fdbb85-8f7d-7f8b-dc59-7cb26189ef7d</v>
    <v>en-AU</v>
    <v>Map</v>
  </rv>
  <rv s="0">
    <v>536870912</v>
    <v>Shandong</v>
    <v>311c787d-5f0d-3960-4647-a0b3ee6bb863</v>
    <v>en-AU</v>
    <v>Map</v>
  </rv>
  <rv s="0">
    <v>536870912</v>
    <v>Shaanxi</v>
    <v>2c52cd90-c486-5a30-6fdf-b777d9331efd</v>
    <v>en-AU</v>
    <v>Map</v>
  </rv>
  <rv s="0">
    <v>536870912</v>
    <v>Heilongjiang</v>
    <v>a7c2e681-f80e-cae6-2ae7-fccb47f12008</v>
    <v>en-AU</v>
    <v>Map</v>
  </rv>
  <rv s="0">
    <v>536870912</v>
    <v>Guangxi</v>
    <v>b2e2f034-494c-f814-7555-fa5d56071d6f</v>
    <v>en-AU</v>
    <v>Map</v>
  </rv>
  <rv s="0">
    <v>536870912</v>
    <v>Xinjiang</v>
    <v>8e7874f1-5a52-a168-5737-ced81488dfca</v>
    <v>en-AU</v>
    <v>Map</v>
  </rv>
  <rv s="0">
    <v>536870912</v>
    <v>Hubei</v>
    <v>03c5c53c-6c11-7737-b58a-31b9b73bce20</v>
    <v>en-AU</v>
    <v>Map</v>
  </rv>
  <rv s="0">
    <v>536870912</v>
    <v>Zhejiang</v>
    <v>5464490d-3361-4945-967e-d8879b9c8415</v>
    <v>en-AU</v>
    <v>Map</v>
  </rv>
  <rv s="0">
    <v>536870912</v>
    <v>Hebei</v>
    <v>268021ac-4731-f143-328a-f385a6b2f343</v>
    <v>en-AU</v>
    <v>Map</v>
  </rv>
  <rv s="0">
    <v>536870912</v>
    <v>Inner Mongolia</v>
    <v>2c74fdb2-19bf-0f2d-f20d-13b21d6103e6</v>
    <v>en-AU</v>
    <v>Map</v>
  </rv>
  <rv s="0">
    <v>536870912</v>
    <v>Guizhou</v>
    <v>3025ec8b-299d-6131-4293-401f8dd1701e</v>
    <v>en-AU</v>
    <v>Map</v>
  </rv>
  <rv s="0">
    <v>536870912</v>
    <v>Jilin</v>
    <v>20bba38c-89a4-7448-c64a-9ec85a4ba341</v>
    <v>en-AU</v>
    <v>Map</v>
  </rv>
  <rv s="0">
    <v>536870912</v>
    <v>Ningxia</v>
    <v>b9d307c1-70f4-a27f-6800-d624b3030236</v>
    <v>en-AU</v>
    <v>Map</v>
  </rv>
  <rv s="0">
    <v>536870912</v>
    <v>Shanxi</v>
    <v>075dd860-13e3-fb9e-dab0-6f2a22a59c5d</v>
    <v>en-AU</v>
    <v>Map</v>
  </rv>
  <rv s="0">
    <v>536870912</v>
    <v>Anhui</v>
    <v>7a26b7d2-0ec9-86cd-351a-a9f347c4b9cd</v>
    <v>en-AU</v>
    <v>Map</v>
  </rv>
  <rv s="0">
    <v>536870912</v>
    <v>Jiangxi</v>
    <v>60bbd587-912f-cf97-4a3b-4e9236f59153</v>
    <v>en-AU</v>
    <v>Map</v>
  </rv>
  <rv s="0">
    <v>536870912</v>
    <v>Tibet</v>
    <v>47172d29-ddc9-3139-5851-4a08c8219822</v>
    <v>en-AU</v>
    <v>Map</v>
  </rv>
  <rv s="0">
    <v>536870912</v>
    <v>Hainan</v>
    <v>85cb11dd-f8f0-f5e0-35d3-42ce64c34e9e</v>
    <v>en-AU</v>
    <v>Map</v>
  </rv>
  <rv s="0">
    <v>536870912</v>
    <v>Qinghai</v>
    <v>c8ddeac2-af7f-8ee9-dbac-33f9f697d88c</v>
    <v>en-AU</v>
    <v>Map</v>
  </rv>
  <rv s="0">
    <v>536870912</v>
    <v>Gansu</v>
    <v>2bf7e5b1-3ba4-5943-77aa-7ac1cb9a0535</v>
    <v>en-AU</v>
    <v>Map</v>
  </rv>
  <rv s="0">
    <v>536870912</v>
    <v>Henan</v>
    <v>e1b3708c-e5d8-671a-5b9c-e74cf7d11971</v>
    <v>en-AU</v>
    <v>Map</v>
  </rv>
  <rv s="2">
    <v>21</v>
  </rv>
  <rv s="1">
    <fb>9.4193182022714303E-2</fb>
    <v>37</v>
  </rv>
  <rv s="1">
    <fb>0.59200000000000008</fb>
    <v>37</v>
  </rv>
  <rv s="1">
    <fb>4.3200001716613798E-2</fb>
    <v>45</v>
  </rv>
  <rv s="1">
    <fb>842933962</fb>
    <v>11</v>
  </rv>
  <rv s="6">
    <v>#VALUE!</v>
    <v>en-AU</v>
    <v>5fcc3d97-0cf2-94e5-6dad-cd70e387bd69</v>
    <v>536870912</v>
    <v>1</v>
    <v>95</v>
    <v>34</v>
    <v>China</v>
    <v>7</v>
    <v>35</v>
    <v>Map</v>
    <v>9</v>
    <v>96</v>
    <v>CN</v>
    <v>238</v>
    <v>239</v>
    <v>240</v>
    <v>241</v>
    <v>242</v>
    <v>243</v>
    <v>244</v>
    <v>245</v>
    <v>246</v>
    <v>CNY</v>
    <v>China, officially the People's Republic of China, is a country in East Asia. It is the world's most populous country, with a population of more than 1.4 billion people. China spans five geographical time zones and borders 14 countries, the second most of any country in the world after Russia. Covering an area of approximately 9.6 million square kilometers, it is the world's third or fourth largest country. The country consists of 23 provinces, five autonomous regions, four municipalities, and two Special Administrative Regions. The national capital is Beijing, and the most populous city and financial center is Shanghai.</v>
    <v>247</v>
    <v>248</v>
    <v>249</v>
    <v>250</v>
    <v>251</v>
    <v>252</v>
    <v>253</v>
    <v>254</v>
    <v>255</v>
    <v>256</v>
    <v>257</v>
    <v>260</v>
    <v>261</v>
    <v>262</v>
    <v>263</v>
    <v>264</v>
    <v>265</v>
    <v>China</v>
    <v>March of the Volunteers</v>
    <v>266</v>
    <v>People's Republic of China</v>
    <v>267</v>
    <v>268</v>
    <v>269</v>
    <v>212</v>
    <v>270</v>
    <v>271</v>
    <v>272</v>
    <v>273</v>
    <v>274</v>
    <v>275</v>
    <v>276</v>
    <v>307</v>
    <v>308</v>
    <v>236</v>
    <v>309</v>
    <v>310</v>
    <v>China</v>
    <v>311</v>
    <v>mdp/vdpid/45</v>
  </rv>
  <rv s="1">
    <fb>4.7619047619047603E-2</fb>
    <v>37</v>
  </rv>
  <rv s="1">
    <fb>1108</fb>
    <v>11</v>
  </rv>
  <rv s="1">
    <fb>7.2</fb>
    <v>38</v>
  </rv>
  <rv s="1">
    <fb>852</fb>
    <v>39</v>
  </rv>
  <rv s="0">
    <v>536870912</v>
    <v>Victoria City, Hong Kong</v>
    <v>644c4679-89fe-6735-4bef-8faef0ed623b</v>
    <v>en-AU</v>
    <v>Map</v>
  </rv>
  <rv s="1">
    <fb>43644.633999999998</fb>
    <v>11</v>
  </rv>
  <rv s="1">
    <fb>134.593052867475</fb>
    <v>40</v>
  </rv>
  <rv s="1">
    <fb>2.8649279875438E-2</fb>
    <v>37</v>
  </rv>
  <rv s="1">
    <fb>6083.2699356802004</fb>
    <v>11</v>
  </rv>
  <rv s="1">
    <fb>1.0720000000000001</fb>
    <v>38</v>
  </rv>
  <rv s="1">
    <fb>93.172881620063393</fb>
    <v>41</v>
  </rv>
  <rv s="1">
    <fb>1.86</fb>
    <v>42</v>
  </rv>
  <rv s="1">
    <fb>366029556273.05103</fb>
    <v>43</v>
  </rv>
  <rv s="1">
    <fb>1.0861767</fb>
    <v>37</v>
  </rv>
  <rv s="1">
    <fb>0.76922230000000003</fb>
    <v>37</v>
  </rv>
  <rv s="0">
    <v>536870912</v>
    <v>Kowloon</v>
    <v>4cda8ccc-49df-e25d-4081-af247bd5d447</v>
    <v>en-AU</v>
    <v>Map</v>
  </rv>
  <rv s="3">
    <v>https://www.bing.com/search?q=hong+kong&amp;form=skydnc</v>
    <v>Learn more on Bing</v>
  </rv>
  <rv s="1">
    <fb>84.934146341463403</fb>
    <v>41</v>
  </rv>
  <rv s="1">
    <fb>4899234580000</fb>
    <v>43</v>
  </rv>
  <rv s="1">
    <fb>4.4400000000000004</fb>
    <v>42</v>
  </rv>
  <rv s="2">
    <v>22</v>
  </rv>
  <rv s="1">
    <fb>1.319</fb>
    <v>38</v>
  </rv>
  <rv s="1">
    <fb>7507400</fb>
    <v>11</v>
  </rv>
  <rv s="1">
    <fb>0.60073001861572306</fb>
    <v>37</v>
  </rv>
  <rv s="2">
    <v>23</v>
  </rv>
  <rv s="1">
    <fb>0.21899999999999997</fb>
    <v>37</v>
  </rv>
  <rv s="1">
    <fb>3.6289999485015899E-2</fb>
    <v>45</v>
  </rv>
  <rv s="11">
    <v>#VALUE!</v>
    <v>en-AU</v>
    <v>304df1d5-38ee-e835-eb2a-554caba5c30e</v>
    <v>536870912</v>
    <v>1</v>
    <v>104</v>
    <v>105</v>
    <v>Hong Kong</v>
    <v>7</v>
    <v>8</v>
    <v>Map</v>
    <v>9</v>
    <v>106</v>
    <v>HK</v>
    <v>313</v>
    <v>314</v>
    <v>315</v>
    <v>316</v>
    <v>317</v>
    <v>318</v>
    <v>319</v>
    <v>320</v>
    <v>Hong Kong, officially the Hong Kong Special Administrative Region of the People's Republic of China, is a city and special administrative region of China on the eastern Pearl River Delta in South China. With 7.5 million residents of various nationalities in a 1,104-square-kilometre territory, Hong Kong is one of the most densely populated places in the world. Hong Kong is also a major global financial centre and one of the most developed cities in the world.</v>
    <v>321</v>
    <v>322</v>
    <v>323</v>
    <v>324</v>
    <v>325</v>
    <v>326</v>
    <v>327</v>
    <v>328</v>
    <v>329</v>
    <v>330</v>
    <v>331</v>
    <v>332</v>
    <v>Hong Kong</v>
    <v>March of the Volunteers</v>
    <v>333</v>
    <v>Hong Kong Special Administrative Region</v>
    <v>334</v>
    <v>335</v>
    <v>336</v>
    <v>337</v>
    <v>338</v>
    <v>339</v>
    <v>Hong Kong</v>
    <v>335</v>
    <v>mdp/vdpid/104</v>
  </rv>
  <rv s="0">
    <v>536870912</v>
    <v>Tampico</v>
    <v>44e0d2eb-12a3-0a37-9b17-cbe09df9c4f0</v>
    <v>en-AU</v>
    <v>Map</v>
  </rv>
  <rv s="0">
    <v>536870912</v>
    <v>Tamaulipas</v>
    <v>6f2fce2f-2090-8583-dbf3-dd9d6fc3cab3</v>
    <v>en-AU</v>
    <v>Map</v>
  </rv>
  <rv s="1">
    <fb>92.73</fb>
    <v>11</v>
  </rv>
  <rv s="0">
    <v>536870912</v>
    <v>Mexico</v>
    <v>8e475659-4bdc-d912-6494-affce0096bc1</v>
    <v>en-AU</v>
    <v>Map</v>
  </rv>
  <rv s="5">
    <v>3</v>
    <v>9</v>
    <v>113</v>
    <v>6</v>
    <v>0</v>
    <v>Image of Tampico</v>
  </rv>
  <rv s="1">
    <fb>22.217293999999999</fb>
    <v>12</v>
  </rv>
  <rv s="2">
    <v>24</v>
  </rv>
  <rv s="3">
    <v>https://www.bing.com/search?q=tampico&amp;form=skydnc</v>
    <v>Learn more on Bing</v>
  </rv>
  <rv s="1">
    <fb>-97.855733999999998</fb>
    <v>12</v>
  </rv>
  <rv s="1">
    <fb>314418</fb>
    <v>11</v>
  </rv>
  <rv s="2">
    <v>25</v>
  </rv>
  <rv s="12">
    <v>#VALUE!</v>
    <v>en-AU</v>
    <v>44e0d2eb-12a3-0a37-9b17-cbe09df9c4f0</v>
    <v>536870912</v>
    <v>1</v>
    <v>110</v>
    <v>111</v>
    <v>Tampico</v>
    <v>7</v>
    <v>35</v>
    <v>Map</v>
    <v>9</v>
    <v>112</v>
    <v>342</v>
    <v>343</v>
    <v>344</v>
    <v>Tampico is a city and port in the southeastern part of the state of Tamaulipas, Mexico. It is located on the north bank of the Pánuco River, about 10 kilometers inland from the Gulf of Mexico, and directly north of the state of Veracruz. Tampico is the fifth-largest city in Tamaulipas, with a population of 314,418 in the city proper and 929,174 in the metropolitan area.</v>
    <v>345</v>
    <v>346</v>
    <v>347</v>
    <v>348</v>
    <v>349</v>
    <v>Tampico</v>
    <v>350</v>
    <v>351</v>
    <v>Tampico</v>
    <v>mdp/vdpid/5161700589163249665</v>
  </rv>
  <rv s="1">
    <fb>0.54649553743666202</fb>
    <v>37</v>
  </rv>
  <rv s="1">
    <fb>1964375</fb>
    <v>11</v>
  </rv>
  <rv s="1">
    <fb>336000</fb>
    <v>11</v>
  </rv>
  <rv s="1">
    <fb>17.602</fb>
    <v>38</v>
  </rv>
  <rv s="1">
    <fb>52</fb>
    <v>39</v>
  </rv>
  <rv s="0">
    <v>536870912</v>
    <v>Mexico City</v>
    <v>f1281260-8340-e258-c8ec-3522504400e5</v>
    <v>en-AU</v>
    <v>Map</v>
  </rv>
  <rv s="1">
    <fb>486405.54800000001</fb>
    <v>11</v>
  </rv>
  <rv s="1">
    <fb>141.54252296997399</fb>
    <v>40</v>
  </rv>
  <rv s="1">
    <fb>3.6359614212704998E-2</fb>
    <v>37</v>
  </rv>
  <rv s="1">
    <fb>2157.32394883914</fb>
    <v>11</v>
  </rv>
  <rv s="1">
    <fb>2.129</fb>
    <v>38</v>
  </rv>
  <rv s="1">
    <fb>0.339249458255099</fb>
    <v>37</v>
  </rv>
  <rv s="1">
    <fb>90.426207910940704</fb>
    <v>41</v>
  </rv>
  <rv s="1">
    <fb>0.73</fb>
    <v>42</v>
  </rv>
  <rv s="1">
    <fb>1258286717124.53</fb>
    <v>43</v>
  </rv>
  <rv s="1">
    <fb>1.0577000999999999</fb>
    <v>37</v>
  </rv>
  <rv s="1">
    <fb>0.40228960000000002</fb>
    <v>37</v>
  </rv>
  <rv s="1">
    <fb>11</fb>
    <v>41</v>
  </rv>
  <rv s="0">
    <v>805306368</v>
    <v>Andrés Manuel López Obrador (President)</v>
    <v>f285a927-f27b-4a8e-277b-5c53b148cf20</v>
    <v>en-AU</v>
    <v>Generic</v>
  </rv>
  <rv s="2">
    <v>26</v>
  </rv>
  <rv s="3">
    <v>https://www.bing.com/search?q=mexico&amp;form=skydnc</v>
    <v>Learn more on Bing</v>
  </rv>
  <rv s="1">
    <fb>74.992000000000004</fb>
    <v>41</v>
  </rv>
  <rv s="1">
    <fb>413618820000</fb>
    <v>43</v>
  </rv>
  <rv s="1">
    <fb>33</fb>
    <v>41</v>
  </rv>
  <rv s="1">
    <fb>0.49</fb>
    <v>42</v>
  </rv>
  <rv s="2">
    <v>27</v>
  </rv>
  <rv s="1">
    <fb>0.41370018680000004</fb>
    <v>37</v>
  </rv>
  <rv s="1">
    <fb>2.3826999999999998</fb>
    <v>38</v>
  </rv>
  <rv s="1">
    <fb>126014024</fb>
    <v>11</v>
  </rv>
  <rv s="1">
    <fb>0.2</fb>
    <v>37</v>
  </rv>
  <rv s="1">
    <fb>0.36399999999999999</fb>
    <v>37</v>
  </rv>
  <rv s="1">
    <fb>0.51700000000000002</fb>
    <v>37</v>
  </rv>
  <rv s="1">
    <fb>0.02</fb>
    <v>37</v>
  </rv>
  <rv s="1">
    <fb>5.4000000000000006E-2</fb>
    <v>37</v>
  </rv>
  <rv s="1">
    <fb>9.5000000000000001E-2</fb>
    <v>37</v>
  </rv>
  <rv s="1">
    <fb>0.13500000000000001</fb>
    <v>37</v>
  </rv>
  <rv s="1">
    <fb>0.60680000305175807</fb>
    <v>37</v>
  </rv>
  <rv s="0">
    <v>536870912</v>
    <v>Jalisco</v>
    <v>18c29bf9-bbf0-e90f-10f3-c48c9791339b</v>
    <v>en-AU</v>
    <v>Map</v>
  </rv>
  <rv s="0">
    <v>536870912</v>
    <v>Sinaloa</v>
    <v>ef7dcafc-cca2-39b2-e063-e2bbf5b2022e</v>
    <v>en-AU</v>
    <v>Map</v>
  </rv>
  <rv s="0">
    <v>536870912</v>
    <v>Sonora</v>
    <v>e59e4f16-5e42-af6e-b970-e0ae59046077</v>
    <v>en-AU</v>
    <v>Map</v>
  </rv>
  <rv s="0">
    <v>536870912</v>
    <v>Chiapas</v>
    <v>f0d5e228-a3c3-8699-7df3-32ab85b078b3</v>
    <v>en-AU</v>
    <v>Map</v>
  </rv>
  <rv s="0">
    <v>536870912</v>
    <v>San Luis Potosí</v>
    <v>c228dff2-2024-525b-1b90-fe82a2f5ccfc</v>
    <v>en-AU</v>
    <v>Map</v>
  </rv>
  <rv s="0">
    <v>536870912</v>
    <v>Chihuahua</v>
    <v>ce5a5e29-7bae-05e8-fec7-e028f5c1e139</v>
    <v>en-AU</v>
    <v>Map</v>
  </rv>
  <rv s="0">
    <v>536870912</v>
    <v>Aguascalientes</v>
    <v>7f39db16-d0e9-f4ba-b929-2a69336bbcb0</v>
    <v>en-AU</v>
    <v>Map</v>
  </rv>
  <rv s="0">
    <v>536870912</v>
    <v>Oaxaca</v>
    <v>2a651e2b-4cd2-6315-971b-6bddb30dfb4d</v>
    <v>en-AU</v>
    <v>Map</v>
  </rv>
  <rv s="0">
    <v>536870912</v>
    <v>Tabasco</v>
    <v>f96880d9-0a36-58d3-7351-a4c7070c642d</v>
    <v>en-AU</v>
    <v>Map</v>
  </rv>
  <rv s="0">
    <v>536870912</v>
    <v>Zacatecas</v>
    <v>135a47e4-6f2c-2112-febf-50c21b485bd3</v>
    <v>en-AU</v>
    <v>Map</v>
  </rv>
  <rv s="0">
    <v>536870912</v>
    <v>Hidalgo</v>
    <v>76baa939-e01a-077d-0c83-522220d05a5b</v>
    <v>en-AU</v>
    <v>Map</v>
  </rv>
  <rv s="0">
    <v>536870912</v>
    <v>Nayarit</v>
    <v>d5ab8703-9922-20b7-03c7-acb17f76b03e</v>
    <v>en-AU</v>
    <v>Map</v>
  </rv>
  <rv s="0">
    <v>536870912</v>
    <v>Baja California</v>
    <v>6b504587-24aa-0512-9ca8-180f7fa0f586</v>
    <v>en-AU</v>
    <v>Map</v>
  </rv>
  <rv s="0">
    <v>536870912</v>
    <v>Querétaro</v>
    <v>4a2d4179-0f55-70d5-99e7-165b2289a273</v>
    <v>en-AU</v>
    <v>Map</v>
  </rv>
  <rv s="0">
    <v>536870912</v>
    <v>Coahuila</v>
    <v>b1fb0720-5dff-3cd3-aa9b-e91c0988b9f4</v>
    <v>en-AU</v>
    <v>Map</v>
  </rv>
  <rv s="0">
    <v>536870912</v>
    <v>Puebla</v>
    <v>e266f3f0-af5e-7537-36e1-118cfcc783a3</v>
    <v>en-AU</v>
    <v>Map</v>
  </rv>
  <rv s="0">
    <v>536870912</v>
    <v>Veracruz</v>
    <v>10381f79-264a-f2fd-08f8-cc5377683832</v>
    <v>en-AU</v>
    <v>Map</v>
  </rv>
  <rv s="0">
    <v>536870912</v>
    <v>Michoacán</v>
    <v>33ec3160-5b7b-5fef-defd-4574b6b819d6</v>
    <v>en-AU</v>
    <v>Map</v>
  </rv>
  <rv s="0">
    <v>536870912</v>
    <v>Guanajuato</v>
    <v>9eaf00cd-2b5c-3655-adbc-dc91f1f0fca3</v>
    <v>en-AU</v>
    <v>Map</v>
  </rv>
  <rv s="0">
    <v>536870912</v>
    <v>Colima</v>
    <v>c5187e51-1440-155f-505d-5c7804e1489f</v>
    <v>en-AU</v>
    <v>Map</v>
  </rv>
  <rv s="0">
    <v>536870912</v>
    <v>Quintana Roo</v>
    <v>96bcffec-8d1c-5e86-ab0e-e31d5b9a157c</v>
    <v>en-AU</v>
    <v>Map</v>
  </rv>
  <rv s="0">
    <v>536870912</v>
    <v>Mexico State</v>
    <v>884c2c6c-6f06-85ee-aa8d-65b8980f2231</v>
    <v>en-AU</v>
    <v>Map</v>
  </rv>
  <rv s="0">
    <v>536870912</v>
    <v>Guerrero</v>
    <v>86638283-e8d0-0d69-1241-dc688f82149b</v>
    <v>en-AU</v>
    <v>Map</v>
  </rv>
  <rv s="0">
    <v>536870912</v>
    <v>Nuevo León</v>
    <v>1696b325-bf35-b9aa-28db-3304c1996498</v>
    <v>en-AU</v>
    <v>Map</v>
  </rv>
  <rv s="0">
    <v>536870912</v>
    <v>Yucatán</v>
    <v>f096e19b-5b56-f73a-3e33-e3f03e33fffc</v>
    <v>en-AU</v>
    <v>Map</v>
  </rv>
  <rv s="0">
    <v>536870912</v>
    <v>Durango</v>
    <v>d5a4a060-173a-aa5a-3023-abf4cbc2f03d</v>
    <v>en-AU</v>
    <v>Map</v>
  </rv>
  <rv s="0">
    <v>536870912</v>
    <v>Morelos</v>
    <v>457cd12b-12ce-71c2-81d5-f60ba9645b36</v>
    <v>en-AU</v>
    <v>Map</v>
  </rv>
  <rv s="0">
    <v>536870912</v>
    <v>Tlaxcala</v>
    <v>77063c53-3a0e-fbf0-30d8-68218fbc38fa</v>
    <v>en-AU</v>
    <v>Map</v>
  </rv>
  <rv s="0">
    <v>536870912</v>
    <v>Baja California Sur</v>
    <v>72f2373c-402d-1899-776e-ebde71dada5d</v>
    <v>en-AU</v>
    <v>Map</v>
  </rv>
  <rv s="0">
    <v>536870912</v>
    <v>Campeche</v>
    <v>7c67b06b-20b4-3244-d633-4a6255df7395</v>
    <v>en-AU</v>
    <v>Map</v>
  </rv>
  <rv s="2">
    <v>28</v>
  </rv>
  <rv s="1">
    <fb>0.130829255322402</fb>
    <v>37</v>
  </rv>
  <rv s="1">
    <fb>0.55100000000000005</fb>
    <v>37</v>
  </rv>
  <rv s="1">
    <fb>3.4249999523162801E-2</fb>
    <v>45</v>
  </rv>
  <rv s="1">
    <fb>102626859</fb>
    <v>11</v>
  </rv>
  <rv s="13">
    <v>#VALUE!</v>
    <v>en-AU</v>
    <v>8e475659-4bdc-d912-6494-affce0096bc1</v>
    <v>536870912</v>
    <v>1</v>
    <v>122</v>
    <v>123</v>
    <v>Mexico</v>
    <v>7</v>
    <v>8</v>
    <v>Map</v>
    <v>9</v>
    <v>124</v>
    <v>MX</v>
    <v>353</v>
    <v>354</v>
    <v>355</v>
    <v>356</v>
    <v>357</v>
    <v>358</v>
    <v>359</v>
    <v>360</v>
    <v>361</v>
    <v>MXN</v>
    <v>Mexico, officially the United Mexican States, is a country in the southern portion of North America. It is bordered to the north by the United States; to the south and west by the Pacific Ocean; to the southeast by Guatemala, Belize, and the Caribbean Sea; and to the east by the Gulf of Mexico. Mexico covers 1,972,550 square kilometers, making it the world's 13th-largest country by area; with approximately 126,014,024 inhabitants, it is the 10th-most-populous country and has the most Spanish-speakers. Mexico is organized as a federal republic comprising 31 states and Mexico City, its capital. Other major urban areas include Monterrey, Guadalajara, Puebla, Toluca, Tijuana, Ciudad Juárez, and León.</v>
    <v>362</v>
    <v>363</v>
    <v>364</v>
    <v>365</v>
    <v>366</v>
    <v>367</v>
    <v>368</v>
    <v>369</v>
    <v>370</v>
    <v>358</v>
    <v>372</v>
    <v>373</v>
    <v>374</v>
    <v>375</v>
    <v>376</v>
    <v>377</v>
    <v>Mexico</v>
    <v>Himno Nacional Mexicano</v>
    <v>378</v>
    <v>Mexico</v>
    <v>379</v>
    <v>380</v>
    <v>381</v>
    <v>382</v>
    <v>383</v>
    <v>384</v>
    <v>385</v>
    <v>386</v>
    <v>387</v>
    <v>388</v>
    <v>389</v>
    <v>420</v>
    <v>421</v>
    <v>422</v>
    <v>423</v>
    <v>Mexico</v>
    <v>424</v>
    <v>mdp/vdpid/166</v>
  </rv>
  <rv s="0">
    <v>536870912</v>
    <v>Savannah</v>
    <v>6e07d382-f1bc-4c97-8424-6fbc9ef0dd81</v>
    <v>en-AU</v>
    <v>Map</v>
  </rv>
  <rv s="0">
    <v>536870912</v>
    <v>Georgia</v>
    <v>84604bc7-2c47-4f8d-8ea5-b6ac8c018a20</v>
    <v>en-AU</v>
    <v>Map</v>
  </rv>
  <rv s="0">
    <v>536870912</v>
    <v>Chatham County</v>
    <v>b68fee8c-acab-a423-80f6-56b53d4d3da4</v>
    <v>en-AU</v>
    <v>Map</v>
  </rv>
  <rv s="1">
    <fb>281.5</fb>
    <v>11</v>
  </rv>
  <rv s="0">
    <v>536870912</v>
    <v>United States</v>
    <v>5232ed96-85b1-2edb-12c6-63e6c597a1de</v>
    <v>en-AU</v>
    <v>Map</v>
  </rv>
  <rv s="1">
    <fb>32.016666999999998</fb>
    <v>12</v>
  </rv>
  <rv s="2">
    <v>29</v>
  </rv>
  <rv s="3">
    <v>https://www.bing.com/search?q=savannah+georgia&amp;form=skydnc</v>
    <v>Learn more on Bing</v>
  </rv>
  <rv s="1">
    <fb>-81.116667000000007</fb>
    <v>12</v>
  </rv>
  <rv s="1">
    <fb>147780</fb>
    <v>11</v>
  </rv>
  <rv s="2">
    <v>30</v>
  </rv>
  <rv s="7">
    <v>#VALUE!</v>
    <v>en-AU</v>
    <v>6e07d382-f1bc-4c97-8424-6fbc9ef0dd81</v>
    <v>536870912</v>
    <v>1</v>
    <v>128</v>
    <v>51</v>
    <v>Savannah</v>
    <v>7</v>
    <v>8</v>
    <v>Map</v>
    <v>9</v>
    <v>10</v>
    <v>427</v>
    <v>428</v>
    <v>429</v>
    <v>430</v>
    <v>Savannah is the oldest city in the U.S. state of Georgia and is the county seat of Chatham County. Established in 1733 on the Savannah River, the city of Savannah became the British colonial capital of the Province of Georgia and later the first state capital of Georgia. A strategic port city in the American Revolution and during the American Civil War, Savannah is today an industrial center and an important Atlantic seaport. It is Georgia's fifth-largest city, with a 2020 U.S. Census population of 147,780. The Savannah metropolitan area, Georgia's third-largest, had a 2020 population of 404,798.</v>
    <v>431</v>
    <v>432</v>
    <v>433</v>
    <v>434</v>
    <v>Savannah</v>
    <v>435</v>
    <v>436</v>
    <v>Savannah</v>
    <v>mdp/vdpid/5497502162269241345</v>
  </rv>
  <rv s="1">
    <fb>0.44369067999501505</fb>
    <v>37</v>
  </rv>
  <rv s="1">
    <fb>9833517</fb>
    <v>11</v>
  </rv>
  <rv s="1">
    <fb>1359000</fb>
    <v>11</v>
  </rv>
  <rv s="1">
    <fb>11.6</fb>
    <v>38</v>
  </rv>
  <rv s="1">
    <fb>1</fb>
    <v>39</v>
  </rv>
  <rv s="0">
    <v>536870912</v>
    <v>Washington, D.C.</v>
    <v>216726d1-8987-06d3-5eff-823da05c3d3c</v>
    <v>en-AU</v>
    <v>Map</v>
  </rv>
  <rv s="1">
    <fb>5006302.0769999996</fb>
    <v>11</v>
  </rv>
  <rv s="1">
    <fb>117.244195476228</fb>
    <v>40</v>
  </rv>
  <rv s="1">
    <fb>7.4999999999999997E-2</fb>
    <v>37</v>
  </rv>
  <rv s="1">
    <fb>12993.961824772699</fb>
    <v>11</v>
  </rv>
  <rv s="1">
    <fb>1.7295</fb>
    <v>38</v>
  </rv>
  <rv s="1">
    <fb>0.339297856663409</fb>
    <v>37</v>
  </rv>
  <rv s="1">
    <fb>82.427828245269197</fb>
    <v>41</v>
  </rv>
  <rv s="1">
    <fb>21427700000000</fb>
    <v>43</v>
  </rv>
  <rv s="1">
    <fb>1.0182144</fb>
    <v>37</v>
  </rv>
  <rv s="1">
    <fb>0.88167390000000001</fb>
    <v>37</v>
  </rv>
  <rv s="5">
    <v>4</v>
    <v>9</v>
    <v>140</v>
    <v>6</v>
    <v>0</v>
    <v>Image of United States</v>
  </rv>
  <rv s="1">
    <fb>5.6</fb>
    <v>41</v>
  </rv>
  <rv s="0">
    <v>536870912</v>
    <v>New York</v>
    <v>60d5dc2b-c915-460b-b722-c9e3485499ca</v>
    <v>en-AU</v>
    <v>Map</v>
  </rv>
  <rv s="0">
    <v>805306368</v>
    <v>Joe Biden (President)</v>
    <v>cad484f9-be75-7a78-12dd-16233f823cd7</v>
    <v>en-AU</v>
    <v>Generic</v>
  </rv>
  <rv s="0">
    <v>805306368</v>
    <v>Kamala Harris (Vice President)</v>
    <v>ef5cf66f-32b7-7271-286a-8e8313eda5c5</v>
    <v>en-AU</v>
    <v>Generic</v>
  </rv>
  <rv s="2">
    <v>31</v>
  </rv>
  <rv s="3">
    <v>https://www.bing.com/search?q=united+states&amp;form=skydnc</v>
    <v>Learn more on Bing</v>
  </rv>
  <rv s="1">
    <fb>78.539024390243895</fb>
    <v>41</v>
  </rv>
  <rv s="1">
    <fb>30436313050000</fb>
    <v>43</v>
  </rv>
  <rv s="1">
    <fb>19</fb>
    <v>41</v>
  </rv>
  <rv s="1">
    <fb>7.25</fb>
    <v>42</v>
  </rv>
  <rv s="1">
    <fb>0.1108387988</fb>
    <v>37</v>
  </rv>
  <rv s="1">
    <fb>2.6120000000000001</fb>
    <v>38</v>
  </rv>
  <rv s="1">
    <fb>328239523</fb>
    <v>11</v>
  </rv>
  <rv s="1">
    <fb>0.22600000000000001</fb>
    <v>37</v>
  </rv>
  <rv s="1">
    <fb>0.30499999999999999</fb>
    <v>37</v>
  </rv>
  <rv s="1">
    <fb>0.46799999999999997</fb>
    <v>37</v>
  </rv>
  <rv s="1">
    <fb>1.7000000000000001E-2</fb>
    <v>37</v>
  </rv>
  <rv s="1">
    <fb>5.0999999999999997E-2</fb>
    <v>37</v>
  </rv>
  <rv s="1">
    <fb>0.10300000000000001</fb>
    <v>37</v>
  </rv>
  <rv s="1">
    <fb>0.62048999786377002</fb>
    <v>37</v>
  </rv>
  <rv s="0">
    <v>536870912</v>
    <v>New York</v>
    <v>caeb7b9a-f5d7-4686-8fb5-cf7628296b13</v>
    <v>en-AU</v>
    <v>Map</v>
  </rv>
  <rv s="0">
    <v>536870912</v>
    <v>Washington</v>
    <v>e8a0d824-4c94-2f90-256a-a6adfa28f789</v>
    <v>en-AU</v>
    <v>Map</v>
  </rv>
  <rv s="0">
    <v>536870912</v>
    <v>California</v>
    <v>3009d91d-d582-4c34-85ba-772ba09e5be1</v>
    <v>en-AU</v>
    <v>Map</v>
  </rv>
  <rv s="0">
    <v>536870912</v>
    <v>Washington</v>
    <v>982ad551-fd5d-45df-bd70-bf704dd576e4</v>
    <v>en-AU</v>
    <v>Map</v>
  </rv>
  <rv s="0">
    <v>536870912</v>
    <v>New Jersey</v>
    <v>05277898-b62b-4878-8632-09d29756a2ff</v>
    <v>en-AU</v>
    <v>Map</v>
  </rv>
  <rv s="0">
    <v>536870912</v>
    <v>Minnesota</v>
    <v>77f97f6f-7e93-46e5-b486-6198effe8dea</v>
    <v>en-AU</v>
    <v>Map</v>
  </rv>
  <rv s="0">
    <v>536870912</v>
    <v>Massachusetts</v>
    <v>845219d5-3650-4199-b926-964ca27c863c</v>
    <v>en-AU</v>
    <v>Map</v>
  </rv>
  <rv s="0">
    <v>536870912</v>
    <v>Missouri</v>
    <v>6185f8cb-44e1-4da6-9bf0-b75286aeb591</v>
    <v>en-AU</v>
    <v>Map</v>
  </rv>
  <rv s="0">
    <v>536870912</v>
    <v>South Carolina</v>
    <v>810015e8-b10b-4232-9e2c-de87a67bd26e</v>
    <v>en-AU</v>
    <v>Map</v>
  </rv>
  <rv s="0">
    <v>536870912</v>
    <v>Nevada</v>
    <v>c2157d7e-617e-4517-80f8-1b08113afc14</v>
    <v>en-AU</v>
    <v>Map</v>
  </rv>
  <rv s="0">
    <v>536870912</v>
    <v>Texas</v>
    <v>00a23ccd-3344-461c-8b9f-c2bb55be5815</v>
    <v>en-AU</v>
    <v>Map</v>
  </rv>
  <rv s="0">
    <v>536870912</v>
    <v>Maryland</v>
    <v>4c472f4d-06a8-4d90-8bb8-da4d168c73fe</v>
    <v>en-AU</v>
    <v>Map</v>
  </rv>
  <rv s="0">
    <v>536870912</v>
    <v>North Carolina</v>
    <v>9e2bf053-dd80-4646-8f26-65075e7085c0</v>
    <v>en-AU</v>
    <v>Map</v>
  </rv>
  <rv s="0">
    <v>536870912</v>
    <v>West Virginia</v>
    <v>8a47255a-fae3-4faa-aa32-c6f384cb6c1d</v>
    <v>en-AU</v>
    <v>Map</v>
  </rv>
  <rv s="0">
    <v>536870912</v>
    <v>Ohio</v>
    <v>6f3df7da-1ef6-48e3-b2b3-b5b5fce3e846</v>
    <v>en-AU</v>
    <v>Map</v>
  </rv>
  <rv s="0">
    <v>536870912</v>
    <v>Virginia</v>
    <v>7eee9976-e8a7-472c-ada1-007208abd678</v>
    <v>en-AU</v>
    <v>Map</v>
  </rv>
  <rv s="0">
    <v>536870912</v>
    <v>Michigan</v>
    <v>162411c2-b757-495d-aa81-93942fae2f7e</v>
    <v>en-AU</v>
    <v>Map</v>
  </rv>
  <rv s="0">
    <v>536870912</v>
    <v>Pennsylvania</v>
    <v>6304580e-c803-4266-818a-971619176547</v>
    <v>en-AU</v>
    <v>Map</v>
  </rv>
  <rv s="0">
    <v>536870912</v>
    <v>Alaska</v>
    <v>31c4c7a1-54e7-4306-ac9b-f1b02e85bda5</v>
    <v>en-AU</v>
    <v>Map</v>
  </rv>
  <rv s="0">
    <v>536870912</v>
    <v>Iowa</v>
    <v>77850824-b07a-487a-af58-37f9949afc27</v>
    <v>en-AU</v>
    <v>Map</v>
  </rv>
  <rv s="0">
    <v>536870912</v>
    <v>Wyoming</v>
    <v>bff03ad6-2b7f-400b-a76e-eb9fc4a93961</v>
    <v>en-AU</v>
    <v>Map</v>
  </rv>
  <rv s="0">
    <v>536870912</v>
    <v>Hawaii</v>
    <v>b6f01eaf-aecf-44f6-b64d-1f6e982365c3</v>
    <v>en-AU</v>
    <v>Map</v>
  </rv>
  <rv s="0">
    <v>536870912</v>
    <v>Oregon</v>
    <v>cacd36fd-7c62-43e2-a632-64a2a1811933</v>
    <v>en-AU</v>
    <v>Map</v>
  </rv>
  <rv s="0">
    <v>536870912</v>
    <v>North Dakota</v>
    <v>77fbc744-3efe-4aa9-9e8e-f8034f06b941</v>
    <v>en-AU</v>
    <v>Map</v>
  </rv>
  <rv s="0">
    <v>536870912</v>
    <v>Oklahoma</v>
    <v>cbcf556f-952a-4665-bb95-0500b27f9976</v>
    <v>en-AU</v>
    <v>Map</v>
  </rv>
  <rv s="0">
    <v>536870912</v>
    <v>Montana</v>
    <v>447d6cd5-53f6-4c8f-bf6c-9ff228415c3b</v>
    <v>en-AU</v>
    <v>Map</v>
  </rv>
  <rv s="0">
    <v>536870912</v>
    <v>Kentucky</v>
    <v>108dfd18-4626-481a-8dfa-18f64e6eac84</v>
    <v>en-AU</v>
    <v>Map</v>
  </rv>
  <rv s="0">
    <v>536870912</v>
    <v>Illinois</v>
    <v>4131acb8-628a-4241-8920-ca79eab9dade</v>
    <v>en-AU</v>
    <v>Map</v>
  </rv>
  <rv s="0">
    <v>536870912</v>
    <v>Louisiana</v>
    <v>0ca1e87f-e2f6-43fb-8deb-d22bd09a9cae</v>
    <v>en-AU</v>
    <v>Map</v>
  </rv>
  <rv s="0">
    <v>536870912</v>
    <v>Connecticut</v>
    <v>b3ca6523-435e-4a3b-8f78-1ad900a52cf8</v>
    <v>en-AU</v>
    <v>Map</v>
  </rv>
  <rv s="0">
    <v>536870912</v>
    <v>Arizona</v>
    <v>bf973f46-5962-4997-a7ba-a05f1aa2a9f9</v>
    <v>en-AU</v>
    <v>Map</v>
  </rv>
  <rv s="0">
    <v>536870912</v>
    <v>Florida</v>
    <v>5fece3f4-e8e8-4159-843e-f725a930ad50</v>
    <v>en-AU</v>
    <v>Map</v>
  </rv>
  <rv s="0">
    <v>536870912</v>
    <v>Nebraska</v>
    <v>3e64ff5d-6b40-4dbe-91b1-0e554e892496</v>
    <v>en-AU</v>
    <v>Map</v>
  </rv>
  <rv s="0">
    <v>536870912</v>
    <v>Indiana</v>
    <v>109f7e5a-efbb-4953-b4b8-cb812ce1ff5d</v>
    <v>en-AU</v>
    <v>Map</v>
  </rv>
  <rv s="0">
    <v>536870912</v>
    <v>Wisconsin</v>
    <v>cb4d2853-06f4-4467-8e7c-4e31cbb35cb2</v>
    <v>en-AU</v>
    <v>Map</v>
  </rv>
  <rv s="0">
    <v>536870912</v>
    <v>Tennessee</v>
    <v>9bbc9c72-1bf1-4ef6-b66d-a6cdef70f4f3</v>
    <v>en-AU</v>
    <v>Map</v>
  </rv>
  <rv s="0">
    <v>536870912</v>
    <v>South Dakota</v>
    <v>9cee0b65-d357-479e-a066-31c634648f47</v>
    <v>en-AU</v>
    <v>Map</v>
  </rv>
  <rv s="0">
    <v>536870912</v>
    <v>New Mexico</v>
    <v>a16d3636-4349-41c7-a77e-89e34b26a8ad</v>
    <v>en-AU</v>
    <v>Map</v>
  </rv>
  <rv s="0">
    <v>536870912</v>
    <v>New Hampshire</v>
    <v>9ca71997-cc97-46eb-8911-fac32f80b0b1</v>
    <v>en-AU</v>
    <v>Map</v>
  </rv>
  <rv s="0">
    <v>536870912</v>
    <v>Kansas</v>
    <v>6e527b71-bd3e-4bc1-b1c0-59d288b4fd5e</v>
    <v>en-AU</v>
    <v>Map</v>
  </rv>
  <rv s="0">
    <v>536870912</v>
    <v>Maine</v>
    <v>d62dd683-9cf9-4db9-a497-d810d529592b</v>
    <v>en-AU</v>
    <v>Map</v>
  </rv>
  <rv s="0">
    <v>536870912</v>
    <v>Vermont</v>
    <v>221864cc-447e-4e78-847c-59e485d73bff</v>
    <v>en-AU</v>
    <v>Map</v>
  </rv>
  <rv s="0">
    <v>536870912</v>
    <v>Mississippi</v>
    <v>6af619ca-217d-49c0-9a86-153fc7fbcd78</v>
    <v>en-AU</v>
    <v>Map</v>
  </rv>
  <rv s="0">
    <v>536870912</v>
    <v>Alabama</v>
    <v>376f8b06-52f6-4e72-a31d-311a3563e645</v>
    <v>en-AU</v>
    <v>Map</v>
  </rv>
  <rv s="0">
    <v>536870912</v>
    <v>Rhode Island</v>
    <v>65a08f52-b469-4f7c-8353-9b3c0b2a5752</v>
    <v>en-AU</v>
    <v>Map</v>
  </rv>
  <rv s="0">
    <v>536870912</v>
    <v>Idaho</v>
    <v>ecd30387-20fa-4523-9045-e2860154b5e9</v>
    <v>en-AU</v>
    <v>Map</v>
  </rv>
  <rv s="0">
    <v>536870912</v>
    <v>Utah</v>
    <v>c6705e44-d27f-4240-95a2-54e802e3b524</v>
    <v>en-AU</v>
    <v>Map</v>
  </rv>
  <rv s="0">
    <v>536870912</v>
    <v>Arkansas</v>
    <v>b939db72-08f2-4ea6-a16a-a53bf32e6612</v>
    <v>en-AU</v>
    <v>Map</v>
  </rv>
  <rv s="0">
    <v>536870912</v>
    <v>Colorado</v>
    <v>a070c5c2-b22d-41d8-b869-f20e583c4f80</v>
    <v>en-AU</v>
    <v>Map</v>
  </rv>
  <rv s="0">
    <v>536870912</v>
    <v>Delaware</v>
    <v>8ad617cc-3d7a-4b3c-a787-098de959ccc4</v>
    <v>en-AU</v>
    <v>Map</v>
  </rv>
  <rv s="0">
    <v>536870912</v>
    <v>Puerto Rico</v>
    <v>72752f4d-11d3-5470-b64e-b9e012b0520f</v>
    <v>en-AU</v>
    <v>Map</v>
  </rv>
  <rv s="0">
    <v>536870912</v>
    <v>American Samoa</v>
    <v>12d04d63-b9b5-855b-0821-b32474a729a4</v>
    <v>en-AU</v>
    <v>Map</v>
  </rv>
  <rv s="0">
    <v>536870912</v>
    <v>United States Virgin Islands</v>
    <v>38bd827b-bc00-140e-85be-46a96078429c</v>
    <v>en-AU</v>
    <v>Map</v>
  </rv>
  <rv s="0">
    <v>536870912</v>
    <v>Northern Mariana Islands</v>
    <v>f4475436-adda-9ff0-b5fe-6c3dff0e26be</v>
    <v>en-AU</v>
    <v>Map</v>
  </rv>
  <rv s="0">
    <v>536870912</v>
    <v>Guam</v>
    <v>f842c067-b461-3084-6a3b-6c6c7431fc9a</v>
    <v>en-AU</v>
    <v>Map</v>
  </rv>
  <rv s="0">
    <v>536870912</v>
    <v>United States Minor Outlying Islands</v>
    <v>0a148d8f-0026-1089-40fb-cf776177ba31</v>
    <v>en-AU</v>
    <v>Map</v>
  </rv>
  <rv s="2">
    <v>32</v>
  </rv>
  <rv s="1">
    <fb>9.5866513904898809E-2</fb>
    <v>37</v>
  </rv>
  <rv s="2">
    <v>33</v>
  </rv>
  <rv s="1">
    <fb>0.36599999999999999</fb>
    <v>37</v>
  </rv>
  <rv s="1">
    <fb>0.14699999999999999</fb>
    <v>45</v>
  </rv>
  <rv s="1">
    <fb>270663028</fb>
    <v>11</v>
  </rv>
  <rv s="6">
    <v>#VALUE!</v>
    <v>en-AU</v>
    <v>5232ed96-85b1-2edb-12c6-63e6c597a1de</v>
    <v>536870912</v>
    <v>1</v>
    <v>138</v>
    <v>34</v>
    <v>United States</v>
    <v>7</v>
    <v>35</v>
    <v>Map</v>
    <v>9</v>
    <v>139</v>
    <v>US</v>
    <v>438</v>
    <v>439</v>
    <v>440</v>
    <v>441</v>
    <v>442</v>
    <v>443</v>
    <v>444</v>
    <v>445</v>
    <v>446</v>
    <v>USD</v>
    <v>The United States of America, commonly known as the United States or America, is a transcontinental country primarily located in North America. It consists of 50 states, a federal district, five major unincorporated territories, and nine minor outlying islands. It is the third-largest country by both land and total area. The United States shares land borders with Canada to the north and with Mexico to the south as well as maritime borders with the Bahamas, Cuba, and Russia, among others. With more than 331 million people, it is the third most populous country in the world. The national capital is Washington, D.C., and the most populous city and financial center is New York City.</v>
    <v>447</v>
    <v>448</v>
    <v>449</v>
    <v>450</v>
    <v>191</v>
    <v>451</v>
    <v>452</v>
    <v>453</v>
    <v>454</v>
    <v>455</v>
    <v>456</v>
    <v>459</v>
    <v>460</v>
    <v>461</v>
    <v>462</v>
    <v>463</v>
    <v>464</v>
    <v>United States</v>
    <v>The Star-Spangled Banner</v>
    <v>378</v>
    <v>United States of America</v>
    <v>465</v>
    <v>466</v>
    <v>467</v>
    <v>468</v>
    <v>469</v>
    <v>470</v>
    <v>471</v>
    <v>472</v>
    <v>473</v>
    <v>275</v>
    <v>474</v>
    <v>531</v>
    <v>532</v>
    <v>533</v>
    <v>534</v>
    <v>535</v>
    <v>United States</v>
    <v>536</v>
    <v>mdp/vdpid/244</v>
  </rv>
  <rv s="0">
    <v>536870912</v>
    <v>Araquari</v>
    <v>b0bf7576-30e6-68ed-bf09-30b797a5f355</v>
    <v>en-AU</v>
    <v>Map</v>
  </rv>
  <rv s="0">
    <v>536870912</v>
    <v>Santa Catarina</v>
    <v>6262969d-76c7-e65f-1be5-668011a93ff0</v>
    <v>en-AU</v>
    <v>Map</v>
  </rv>
  <rv s="1">
    <fb>377</fb>
    <v>11</v>
  </rv>
  <rv s="0">
    <v>536870912</v>
    <v>Brazil</v>
    <v>a828cf41-b938-49fe-7986-4b336618d413</v>
    <v>en-AU</v>
    <v>Map</v>
  </rv>
  <rv s="1">
    <fb>-26.373805900000001</fb>
    <v>12</v>
  </rv>
  <rv s="3">
    <v>https://www.bing.com/search?q=araquari+santa+catarina&amp;form=skydnc</v>
    <v>Learn more on Bing</v>
  </rv>
  <rv s="1">
    <fb>-48.718672900000001</fb>
    <v>12</v>
  </rv>
  <rv s="1">
    <fb>39524</fb>
    <v>11</v>
  </rv>
  <rv s="2">
    <v>34</v>
  </rv>
  <rv s="14">
    <v>#VALUE!</v>
    <v>en-AU</v>
    <v>b0bf7576-30e6-68ed-bf09-30b797a5f355</v>
    <v>536870912</v>
    <v>1</v>
    <v>142</v>
    <v>143</v>
    <v>Araquari</v>
    <v>7</v>
    <v>8</v>
    <v>Map</v>
    <v>9</v>
    <v>10</v>
    <v>539</v>
    <v>540</v>
    <v>541</v>
    <v>Araquari is a municipality in the state of Santa Catarina in the South region of Brazil. The municipality of Araquari was basically colonized by Azorean immigrants, who arrived at the coast of Santa Catarina between 1748 and 1756, and since then, the Azorean culture rooted up and walked hand in hand with the most diverse cultures, as with the Indigenous peoples in Brazil and Africans, both important in this region thus creating a cultural and religious mosaic.</v>
    <v>542</v>
    <v>543</v>
    <v>544</v>
    <v>Araquari</v>
    <v>545</v>
    <v>546</v>
    <v>Araquari</v>
    <v>mdp/vdpid/6461777778818678785</v>
  </rv>
  <rv s="1">
    <fb>0.33924533448829503</fb>
    <v>37</v>
  </rv>
  <rv s="1">
    <fb>8515770</fb>
    <v>11</v>
  </rv>
  <rv s="1">
    <fb>730000</fb>
    <v>11</v>
  </rv>
  <rv s="1">
    <fb>13.923999999999999</fb>
    <v>38</v>
  </rv>
  <rv s="1">
    <fb>55</fb>
    <v>39</v>
  </rv>
  <rv s="0">
    <v>536870912</v>
    <v>Brasília</v>
    <v>0f4c1a26-f33c-b6de-a63f-578da6617369</v>
    <v>en-AU</v>
    <v>Map</v>
  </rv>
  <rv s="1">
    <fb>462298.69</fb>
    <v>11</v>
  </rv>
  <rv s="1">
    <fb>167.397860280061</fb>
    <v>40</v>
  </rv>
  <rv s="1">
    <fb>3.7329762121689397E-2</fb>
    <v>37</v>
  </rv>
  <rv s="1">
    <fb>2619.96061573831</fb>
    <v>11</v>
  </rv>
  <rv s="1">
    <fb>1.73</fb>
    <v>38</v>
  </rv>
  <rv s="1">
    <fb>0.58931054038338704</fb>
    <v>37</v>
  </rv>
  <rv s="1">
    <fb>59.1075326389753</fb>
    <v>41</v>
  </rv>
  <rv s="1">
    <fb>1.02</fb>
    <v>42</v>
  </rv>
  <rv s="1">
    <fb>1839758040765.6201</fb>
    <v>43</v>
  </rv>
  <rv s="1">
    <fb>1.1544783999999999</fb>
    <v>37</v>
  </rv>
  <rv s="1">
    <fb>0.513436</fb>
    <v>37</v>
  </rv>
  <rv s="1">
    <fb>12.8</fb>
    <v>41</v>
  </rv>
  <rv s="0">
    <v>536870912</v>
    <v>São Paulo</v>
    <v>c6cf2f6e-626c-4267-ae48-9e13ea74d2b9</v>
    <v>en-AU</v>
    <v>Map</v>
  </rv>
  <rv s="0">
    <v>805306368</v>
    <v>Jair Bolsonaro (President)</v>
    <v>e5c2a3dc-a01d-9ba4-59d7-7920ab72e453</v>
    <v>en-AU</v>
    <v>Generic</v>
  </rv>
  <rv s="0">
    <v>805306368</v>
    <v>Hamilton Mourão (Vice President)</v>
    <v>82d9ec69-ca73-987b-d035-f269280ea4a8</v>
    <v>en-AU</v>
    <v>Generic</v>
  </rv>
  <rv s="2">
    <v>35</v>
  </rv>
  <rv s="3">
    <v>https://www.bing.com/search?q=brazil&amp;form=skydnc</v>
    <v>Learn more on Bing</v>
  </rv>
  <rv s="1">
    <fb>75.671999999999997</fb>
    <v>41</v>
  </rv>
  <rv s="1">
    <fb>1187361690000</fb>
    <v>43</v>
  </rv>
  <rv s="1">
    <fb>60</fb>
    <v>41</v>
  </rv>
  <rv s="1">
    <fb>1.53</fb>
    <v>42</v>
  </rv>
  <rv s="2">
    <v>36</v>
  </rv>
  <rv s="1">
    <fb>0.28289823089999999</fb>
    <v>37</v>
  </rv>
  <rv s="1">
    <fb>2.1499000000000001</fb>
    <v>38</v>
  </rv>
  <rv s="1">
    <fb>212559417</fb>
    <v>11</v>
  </rv>
  <rv s="1">
    <fb>0.192</fb>
    <v>37</v>
  </rv>
  <rv s="1">
    <fb>0.42499999999999999</fb>
    <v>37</v>
  </rv>
  <rv s="1">
    <fb>0.58399999999999996</fb>
    <v>37</v>
  </rv>
  <rv s="1">
    <fb>0.01</fb>
    <v>37</v>
  </rv>
  <rv s="1">
    <fb>3.1E-2</fb>
    <v>37</v>
  </rv>
  <rv s="1">
    <fb>7.2999999999999995E-2</fb>
    <v>37</v>
  </rv>
  <rv s="1">
    <fb>0.12</fb>
    <v>37</v>
  </rv>
  <rv s="1">
    <fb>0.63883998870849601</fb>
    <v>37</v>
  </rv>
  <rv s="0">
    <v>536870912</v>
    <v>São Paulo</v>
    <v>4d56ae2d-1aad-8c4f-dca2-4456acc12f89</v>
    <v>en-AU</v>
    <v>Map</v>
  </rv>
  <rv s="0">
    <v>536870912</v>
    <v>Minas Gerais</v>
    <v>974e2066-dee0-aecd-c973-50babb750033</v>
    <v>en-AU</v>
    <v>Map</v>
  </rv>
  <rv s="0">
    <v>536870912</v>
    <v>Rio de Janeiro</v>
    <v>3f5a22fa-26bd-86f9-0345-3a6206e8aab5</v>
    <v>en-AU</v>
    <v>Map</v>
  </rv>
  <rv s="0">
    <v>536870912</v>
    <v>Bahia</v>
    <v>e904684f-6d5b-f7bb-c27d-bdb50a0ec8ab</v>
    <v>en-AU</v>
    <v>Map</v>
  </rv>
  <rv s="0">
    <v>536870912</v>
    <v>Pernambuco</v>
    <v>5538aab1-15ae-294f-2c10-f5083201cca1</v>
    <v>en-AU</v>
    <v>Map</v>
  </rv>
  <rv s="0">
    <v>536870912</v>
    <v>Rio Grande do Sul</v>
    <v>9644dbbf-be0c-de9c-a534-3d7ff4801a8b</v>
    <v>en-AU</v>
    <v>Map</v>
  </rv>
  <rv s="0">
    <v>536870912</v>
    <v>Mato Grosso</v>
    <v>af05c757-4d77-813e-b8eb-97635c07f37a</v>
    <v>en-AU</v>
    <v>Map</v>
  </rv>
  <rv s="0">
    <v>536870912</v>
    <v>Ceará</v>
    <v>b598e20e-29fb-ccf6-be0e-2650e6ba40c5</v>
    <v>en-AU</v>
    <v>Map</v>
  </rv>
  <rv s="0">
    <v>536870912</v>
    <v>Paraná</v>
    <v>a33450c4-459a-0682-41ee-635b343dd785</v>
    <v>en-AU</v>
    <v>Map</v>
  </rv>
  <rv s="0">
    <v>536870912</v>
    <v>Espírito Santo</v>
    <v>dbc4d679-53e7-49d7-c6b3-88a4ca7f522f</v>
    <v>en-AU</v>
    <v>Map</v>
  </rv>
  <rv s="0">
    <v>536870912</v>
    <v>Piauí</v>
    <v>ab11433a-8357-ae6d-67fe-8570cc271399</v>
    <v>en-AU</v>
    <v>Map</v>
  </rv>
  <rv s="0">
    <v>536870912</v>
    <v>Goiás</v>
    <v>38750702-647a-b72a-2cec-e4a55e078f36</v>
    <v>en-AU</v>
    <v>Map</v>
  </rv>
  <rv s="0">
    <v>536870912</v>
    <v>Federal District</v>
    <v>88dfc3b6-8e7a-694d-61b2-96d14f226ec4</v>
    <v>en-AU</v>
    <v>Map</v>
  </rv>
  <rv s="0">
    <v>536870912</v>
    <v>Amazonas</v>
    <v>f79e57ca-6fc1-5a6a-015b-38d90f33902f</v>
    <v>en-AU</v>
    <v>Map</v>
  </rv>
  <rv s="0">
    <v>536870912</v>
    <v>Pará</v>
    <v>7a0db70a-73db-e83d-e548-6fab7a523b35</v>
    <v>en-AU</v>
    <v>Map</v>
  </rv>
  <rv s="0">
    <v>536870912</v>
    <v>Rondônia</v>
    <v>25fbe5d5-9bc1-0ec2-ac78-2d9fe5b147dd</v>
    <v>en-AU</v>
    <v>Map</v>
  </rv>
  <rv s="0">
    <v>536870912</v>
    <v>Mato Grosso do Sul</v>
    <v>7de24933-1d79-fc85-387b-3ce7947910b6</v>
    <v>en-AU</v>
    <v>Map</v>
  </rv>
  <rv s="0">
    <v>536870912</v>
    <v>Acre</v>
    <v>8960bf27-5261-01d1-4019-e7d898f67bb4</v>
    <v>en-AU</v>
    <v>Map</v>
  </rv>
  <rv s="0">
    <v>536870912</v>
    <v>Paraíba</v>
    <v>f5be810b-3322-2252-c10f-35206d84b548</v>
    <v>en-AU</v>
    <v>Map</v>
  </rv>
  <rv s="0">
    <v>536870912</v>
    <v>Roraima</v>
    <v>3b8383a2-7c79-31f6-2359-bd9ba2099213</v>
    <v>en-AU</v>
    <v>Map</v>
  </rv>
  <rv s="0">
    <v>536870912</v>
    <v>Rio Grande do Norte</v>
    <v>4cccb40d-d26b-4493-e031-bcf803f1c2b1</v>
    <v>en-AU</v>
    <v>Map</v>
  </rv>
  <rv s="0">
    <v>536870912</v>
    <v>Maranhão</v>
    <v>98274980-9da4-ff5e-78a1-e512bb4179ca</v>
    <v>en-AU</v>
    <v>Map</v>
  </rv>
  <rv s="0">
    <v>536870912</v>
    <v>Alagoas</v>
    <v>4e3f1ba4-1948-0514-728a-55b34ab027b4</v>
    <v>en-AU</v>
    <v>Map</v>
  </rv>
  <rv s="0">
    <v>536870912</v>
    <v>Amapá</v>
    <v>28d39e09-4b9f-31f6-cc72-48b1f9be59db</v>
    <v>en-AU</v>
    <v>Map</v>
  </rv>
  <rv s="0">
    <v>536870912</v>
    <v>Sergipe</v>
    <v>a7f70762-a1ab-d5de-8bf0-3eb8532c1eb9</v>
    <v>en-AU</v>
    <v>Map</v>
  </rv>
  <rv s="0">
    <v>536870912</v>
    <v>Tocantins</v>
    <v>f7a46dfe-e192-d6f7-e5f8-084e555ba7cb</v>
    <v>en-AU</v>
    <v>Map</v>
  </rv>
  <rv s="2">
    <v>37</v>
  </rv>
  <rv s="1">
    <fb>0.14178605589771201</fb>
    <v>37</v>
  </rv>
  <rv s="2">
    <v>38</v>
  </rv>
  <rv s="1">
    <fb>0.65099999999999991</fb>
    <v>37</v>
  </rv>
  <rv s="1">
    <fb>0.12083000183105501</fb>
    <v>45</v>
  </rv>
  <rv s="1">
    <fb>183241641</fb>
    <v>11</v>
  </rv>
  <rv s="9">
    <v>#VALUE!</v>
    <v>en-AU</v>
    <v>a828cf41-b938-49fe-7986-4b336618d413</v>
    <v>536870912</v>
    <v>1</v>
    <v>150</v>
    <v>78</v>
    <v>Brazil</v>
    <v>7</v>
    <v>8</v>
    <v>Map</v>
    <v>9</v>
    <v>151</v>
    <v>BR</v>
    <v>548</v>
    <v>549</v>
    <v>550</v>
    <v>551</v>
    <v>552</v>
    <v>553</v>
    <v>554</v>
    <v>555</v>
    <v>556</v>
    <v>BRL</v>
    <v>Brazil, officially the Federative Republic of Brazil, is the largest country in both South America and Latin America. At 8.5 million square kilometers and with over 214 million people, Brazil is the world's fifth-largest country by area and the seventh most populous. Its capital is Brasília, and its most populous city is São Paulo. The federation is composed of the union of the 26 states and the Federal District. It is the largest country to have Portuguese as an official language and the only one in the Americas; it is also one of the most multicultural and ethnically diverse nations, due to over a century of mass immigration from around the world; as well as the most populous Roman Catholic-majority country.</v>
    <v>557</v>
    <v>558</v>
    <v>559</v>
    <v>560</v>
    <v>561</v>
    <v>562</v>
    <v>563</v>
    <v>564</v>
    <v>565</v>
    <v>566</v>
    <v>569</v>
    <v>570</v>
    <v>571</v>
    <v>572</v>
    <v>573</v>
    <v>574</v>
    <v>Brazil</v>
    <v>Brazilian National Anthem</v>
    <v>575</v>
    <v>Brazil</v>
    <v>576</v>
    <v>577</v>
    <v>578</v>
    <v>579</v>
    <v>580</v>
    <v>581</v>
    <v>582</v>
    <v>583</v>
    <v>584</v>
    <v>585</v>
    <v>586</v>
    <v>613</v>
    <v>614</v>
    <v>615</v>
    <v>616</v>
    <v>617</v>
    <v>Brazil</v>
    <v>618</v>
    <v>mdp/vdpid/32</v>
  </rv>
  <rv s="0">
    <v>536870912</v>
    <v>Durban</v>
    <v>9b7f7cfd-5b92-426a-ba8a-a84ffb866d61</v>
    <v>en-AU</v>
    <v>Map</v>
  </rv>
  <rv s="0">
    <v>536870912</v>
    <v>KwaZulu-Natal</v>
    <v>b18f871a-4296-ec9f-bd43-fc7b0e94f309</v>
    <v>en-AU</v>
    <v>Map</v>
  </rv>
  <rv s="1">
    <fb>2291.89</fb>
    <v>11</v>
  </rv>
  <rv s="0">
    <v>536870912</v>
    <v>South Africa</v>
    <v>38a9fd4a-4f7c-6d91-d6dd-4eed3131672d</v>
    <v>en-AU</v>
    <v>Map</v>
  </rv>
  <rv s="1">
    <fb>-29.849183803338299</fb>
    <v>12</v>
  </rv>
  <rv s="2">
    <v>39</v>
  </rv>
  <rv s="3">
    <v>https://www.bing.com/search?q=durban&amp;form=skydnc</v>
    <v>Learn more on Bing</v>
  </rv>
  <rv s="1">
    <fb>30.987311833764199</fb>
    <v>12</v>
  </rv>
  <rv s="1">
    <fb>595061</fb>
    <v>11</v>
  </rv>
  <rv s="2">
    <v>40</v>
  </rv>
  <rv s="10">
    <v>#VALUE!</v>
    <v>en-AU</v>
    <v>9b7f7cfd-5b92-426a-ba8a-a84ffb866d61</v>
    <v>536870912</v>
    <v>1</v>
    <v>156</v>
    <v>85</v>
    <v>Durban</v>
    <v>7</v>
    <v>8</v>
    <v>Map</v>
    <v>9</v>
    <v>157</v>
    <v>621</v>
    <v>622</v>
    <v>623</v>
    <v>Durban, nicknamed Durbs, is the third most populous city in South Africa after Johannesburg and Cape Town and the largest city in the South African province of KwaZulu-Natal. Durban forms part of the eThekwini Metropolitan Municipality, which includes neighbouring towns and has a population of about 3.44 million, making the combined municipality one of the largest cities on the Indian Ocean coast of the African continent. Durban was also one of the host cities of the 2010 FIFA World Cup.</v>
    <v>624</v>
    <v>625</v>
    <v>626</v>
    <v>627</v>
    <v>Durban</v>
    <v>628</v>
    <v>629</v>
    <v>Durban</v>
    <v>mdp/vdpid/8186154711292837890</v>
  </rv>
  <rv s="1">
    <fb>0.79830020855830996</fb>
    <v>37</v>
  </rv>
  <rv s="1">
    <fb>1219090</fb>
    <v>11</v>
  </rv>
  <rv s="1">
    <fb>80000</fb>
    <v>11</v>
  </rv>
  <rv s="1">
    <fb>20.51</fb>
    <v>38</v>
  </rv>
  <rv s="1">
    <fb>27</fb>
    <v>39</v>
  </rv>
  <rv s="0">
    <v>536870912</v>
    <v>Pretoria</v>
    <v>3fa43cca-3409-4d81-f4f9-2df74e37e177</v>
    <v>en-AU</v>
    <v>Map</v>
  </rv>
  <rv s="1">
    <fb>476643.99400000001</fb>
    <v>11</v>
  </rv>
  <rv s="1">
    <fb>158.92793752218699</fb>
    <v>40</v>
  </rv>
  <rv s="1">
    <fb>4.1243507248623905E-2</fb>
    <v>37</v>
  </rv>
  <rv s="1">
    <fb>4197.9070469175304</fb>
    <v>11</v>
  </rv>
  <rv s="1">
    <fb>2.4049999999999998</fb>
    <v>38</v>
  </rv>
  <rv s="1">
    <fb>7.6177365240831296E-2</fb>
    <v>37</v>
  </rv>
  <rv s="1">
    <fb>86.791431691401598</fb>
    <v>41</v>
  </rv>
  <rv s="1">
    <fb>0.92</fb>
    <v>42</v>
  </rv>
  <rv s="1">
    <fb>351431649241.43903</fb>
    <v>43</v>
  </rv>
  <rv s="1">
    <fb>1.0086473</fb>
    <v>37</v>
  </rv>
  <rv s="1">
    <fb>0.22366029999999998</fb>
    <v>37</v>
  </rv>
  <rv s="1">
    <fb>28.5</fb>
    <v>41</v>
  </rv>
  <rv s="0">
    <v>536870912</v>
    <v>Johannesburg</v>
    <v>fdf01f15-cb04-8b6c-43e6-a8b2138c0312</v>
    <v>en-AU</v>
    <v>Map</v>
  </rv>
  <rv s="0">
    <v>805306368</v>
    <v>Cyril Ramaphosa (President)</v>
    <v>c3bf14fa-ef5e-696f-af28-746c7d0b22a9</v>
    <v>en-AU</v>
    <v>Generic</v>
  </rv>
  <rv s="0">
    <v>805306368</v>
    <v>Ebrahim Patel (Minister)</v>
    <v>729635a3-238f-c787-c853-4b69f0bc05ca</v>
    <v>en-AU</v>
    <v>Generic</v>
  </rv>
  <rv s="0">
    <v>805306368</v>
    <v>David Mabuza (Vice President)</v>
    <v>c48cb6bb-71f3-add7-3ab4-c6fba0b912d7</v>
    <v>en-AU</v>
    <v>Generic</v>
  </rv>
  <rv s="2">
    <v>41</v>
  </rv>
  <rv s="3">
    <v>https://www.bing.com/search?q=south+africa&amp;form=skydnc</v>
    <v>Learn more on Bing</v>
  </rv>
  <rv s="1">
    <fb>63.856999999999999</fb>
    <v>41</v>
  </rv>
  <rv s="1">
    <fb>1056341440000</fb>
    <v>43</v>
  </rv>
  <rv s="1">
    <fb>119</fb>
    <v>41</v>
  </rv>
  <rv s="2">
    <v>42</v>
  </rv>
  <rv s="1">
    <fb>7.6985469299999998E-2</fb>
    <v>37</v>
  </rv>
  <rv s="1">
    <fb>0.90539999999999998</fb>
    <v>38</v>
  </rv>
  <rv s="1">
    <fb>58558270</fb>
    <v>11</v>
  </rv>
  <rv s="1">
    <fb>0.16500000000000001</fb>
    <v>37</v>
  </rv>
  <rv s="1">
    <fb>0.505</fb>
    <v>37</v>
  </rv>
  <rv s="1">
    <fb>0.68200000000000005</fb>
    <v>37</v>
  </rv>
  <rv s="1">
    <fb>9.0000000000000011E-3</fb>
    <v>37</v>
  </rv>
  <rv s="1">
    <fb>2.4E-2</fb>
    <v>37</v>
  </rv>
  <rv s="1">
    <fb>4.8000000000000001E-2</fb>
    <v>37</v>
  </rv>
  <rv s="1">
    <fb>8.199999999999999E-2</fb>
    <v>37</v>
  </rv>
  <rv s="1">
    <fb>0.56016998291015596</fb>
    <v>37</v>
  </rv>
  <rv s="0">
    <v>536870912</v>
    <v>Western Cape</v>
    <v>c7b124b8-e75d-0b9b-5245-dda6bbb13800</v>
    <v>en-AU</v>
    <v>Map</v>
  </rv>
  <rv s="0">
    <v>536870912</v>
    <v>Eastern Cape</v>
    <v>52d32047-22e4-2498-c546-1854275462d0</v>
    <v>en-AU</v>
    <v>Map</v>
  </rv>
  <rv s="0">
    <v>536870912</v>
    <v>Northern Cape</v>
    <v>c7811f0b-afea-afb9-4c2d-695826b9ca98</v>
    <v>en-AU</v>
    <v>Map</v>
  </rv>
  <rv s="0">
    <v>536870912</v>
    <v>Mpumalanga</v>
    <v>fe8e43ff-3125-ea79-5306-db1bee5c12d8</v>
    <v>en-AU</v>
    <v>Map</v>
  </rv>
  <rv s="0">
    <v>536870912</v>
    <v>North West</v>
    <v>a9ca554b-55e2-f0d1-dbe6-796b1fc29dff</v>
    <v>en-AU</v>
    <v>Map</v>
  </rv>
  <rv s="0">
    <v>536870912</v>
    <v>Free State</v>
    <v>a80d303a-f84e-1047-ecc5-821b167d82e2</v>
    <v>en-AU</v>
    <v>Map</v>
  </rv>
  <rv s="0">
    <v>536870912</v>
    <v>Gauteng</v>
    <v>adc304a6-9c62-702f-7ed7-29afec5c41a8</v>
    <v>en-AU</v>
    <v>Map</v>
  </rv>
  <rv s="0">
    <v>536870912</v>
    <v>Limpopo</v>
    <v>1145af3c-da05-7eb5-c05e-8dbdf794ccd4</v>
    <v>en-AU</v>
    <v>Map</v>
  </rv>
  <rv s="2">
    <v>43</v>
  </rv>
  <rv s="1">
    <fb>0.27465217966612804</fb>
    <v>37</v>
  </rv>
  <rv s="1">
    <fb>0.29199999999999998</fb>
    <v>37</v>
  </rv>
  <rv s="1">
    <fb>0.28180999755859398</fb>
    <v>45</v>
  </rv>
  <rv s="1">
    <fb>39149717</fb>
    <v>11</v>
  </rv>
  <rv s="15">
    <v>#VALUE!</v>
    <v>en-AU</v>
    <v>38a9fd4a-4f7c-6d91-d6dd-4eed3131672d</v>
    <v>536870912</v>
    <v>1</v>
    <v>166</v>
    <v>167</v>
    <v>South Africa</v>
    <v>7</v>
    <v>8</v>
    <v>Map</v>
    <v>9</v>
    <v>168</v>
    <v>ZA</v>
    <v>631</v>
    <v>632</v>
    <v>633</v>
    <v>634</v>
    <v>635</v>
    <v>636</v>
    <v>637</v>
    <v>638</v>
    <v>639</v>
    <v>ZAR</v>
    <v>South Africa, officially the Republic of South Africa, is the southernmost country in Africa. It is bounded to the south by 2,798 kilometres of coastline that stretch along the South Atlantic and Indian Oceans; to the north by the neighbouring countries of Namibia, Botswana, and Zimbabwe; and to the east and northeast by Mozambique and Eswatini and it surrounds the enclaved country of Lesotho. It is the southernmost country on the mainland of the Old World, and the most populous country located entirely south of the equator. South Africa is a biodiversity hotspot, with a diversity of unique biomes and plant and animal life. With over 60 million people, the country is the world's 23rd-most populous nation and covers an area of 1,221,037 square kilometres. South Africa has three capital cities, with the executive, judicial and legislative branches of government based in Pretoria, Bloemfontein, and Cape Town respectively. The largest city is Johannesburg.</v>
    <v>640</v>
    <v>641</v>
    <v>642</v>
    <v>643</v>
    <v>644</v>
    <v>645</v>
    <v>646</v>
    <v>647</v>
    <v>648</v>
    <v>649</v>
    <v>653</v>
    <v>654</v>
    <v>655</v>
    <v>656</v>
    <v>657</v>
    <v>South Africa</v>
    <v>Die Stem van Suid-Afrika</v>
    <v>658</v>
    <v>Republic of South Africa</v>
    <v>659</v>
    <v>660</v>
    <v>661</v>
    <v>662</v>
    <v>663</v>
    <v>664</v>
    <v>665</v>
    <v>666</v>
    <v>667</v>
    <v>668</v>
    <v>669</v>
    <v>678</v>
    <v>679</v>
    <v>629</v>
    <v>680</v>
    <v>681</v>
    <v>South Africa</v>
    <v>682</v>
    <v>mdp/vdpid/209</v>
  </rv>
  <rv s="0">
    <v>536870912</v>
    <v>Genoa</v>
    <v>4925a2d9-6b5c-4514-6a39-4a1fa91dda32</v>
    <v>en-AU</v>
    <v>Map</v>
  </rv>
  <rv s="0">
    <v>536870912</v>
    <v>Liguria</v>
    <v>bc9d0bc0-7501-9ea0-5ffc-8d29df64f153</v>
    <v>en-AU</v>
    <v>Map</v>
  </rv>
  <rv s="1">
    <fb>243</fb>
    <v>11</v>
  </rv>
  <rv s="0">
    <v>536870912</v>
    <v>Italy</v>
    <v>09e8f885-427b-8850-947d-202e0287b9e8</v>
    <v>en-AU</v>
    <v>Map</v>
  </rv>
  <rv s="1">
    <fb>44.411110999999998</fb>
    <v>12</v>
  </rv>
  <rv s="0">
    <v>805306368</v>
    <v>Marco Bucci (Mayor)</v>
    <v>61c28364-5774-53ff-2746-bd436b14efc3</v>
    <v>en-AU</v>
    <v>Generic</v>
  </rv>
  <rv s="2">
    <v>44</v>
  </rv>
  <rv s="3">
    <v>https://www.bing.com/search?q=genoa&amp;form=skydnc</v>
    <v>Learn more on Bing</v>
  </rv>
  <rv s="1">
    <fb>8.9327780000000008</fb>
    <v>12</v>
  </rv>
  <rv s="1">
    <fb>580097</fb>
    <v>11</v>
  </rv>
  <rv s="10">
    <v>#VALUE!</v>
    <v>en-AU</v>
    <v>4925a2d9-6b5c-4514-6a39-4a1fa91dda32</v>
    <v>536870912</v>
    <v>1</v>
    <v>172</v>
    <v>85</v>
    <v>Genoa</v>
    <v>7</v>
    <v>8</v>
    <v>Map</v>
    <v>9</v>
    <v>157</v>
    <v>685</v>
    <v>686</v>
    <v>687</v>
    <v>Genoa is the capital of the Italian region of Liguria and the sixth-largest city in Italy. In 2015, 594,733 people lived within the city's administrative limits. As of the 2011 Italian census, the Province of Genoa, which in 2015 became the Metropolitan City of Genoa, had 855,834 resident persons. Over 1.5 million people live in the wider metropolitan area stretching along the Italian Riviera.</v>
    <v>688</v>
    <v>690</v>
    <v>691</v>
    <v>692</v>
    <v>Genoa</v>
    <v>693</v>
    <v>9</v>
    <v>Genoa</v>
    <v>mdp/vdpid/7208605549267517442</v>
  </rv>
  <rv s="1">
    <fb>0.432345141769226</fb>
    <v>37</v>
  </rv>
  <rv s="1">
    <fb>301340</fb>
    <v>11</v>
  </rv>
  <rv s="1">
    <fb>347000</fb>
    <v>11</v>
  </rv>
  <rv s="1">
    <fb>7.3</fb>
    <v>38</v>
  </rv>
  <rv s="1">
    <fb>39</fb>
    <v>39</v>
  </rv>
  <rv s="0">
    <v>536870912</v>
    <v>Rome</v>
    <v>5ed498af-fa85-2a88-874d-212494ddb06f</v>
    <v>en-AU</v>
    <v>Map</v>
  </rv>
  <rv s="1">
    <fb>320411.45899999997</fb>
    <v>11</v>
  </rv>
  <rv s="1">
    <fb>110.623595648239</fb>
    <v>40</v>
  </rv>
  <rv s="1">
    <fb>6.1124694376529102E-3</fb>
    <v>37</v>
  </rv>
  <rv s="1">
    <fb>5002.4066798773601</fb>
    <v>11</v>
  </rv>
  <rv s="1">
    <fb>1.29</fb>
    <v>38</v>
  </rv>
  <rv s="1">
    <fb>0.31790303272888798</fb>
    <v>37</v>
  </rv>
  <rv s="1">
    <fb>79.948454735494707</fb>
    <v>41</v>
  </rv>
  <rv s="1">
    <fb>1.61</fb>
    <v>42</v>
  </rv>
  <rv s="1">
    <fb>2001244392041.5701</fb>
    <v>43</v>
  </rv>
  <rv s="1">
    <fb>1.0187936</fb>
    <v>37</v>
  </rv>
  <rv s="1">
    <fb>0.61933000000000005</fb>
    <v>37</v>
  </rv>
  <rv s="5">
    <v>5</v>
    <v>9</v>
    <v>184</v>
    <v>6</v>
    <v>0</v>
    <v>Image of Italy</v>
  </rv>
  <rv s="1">
    <fb>2.6</fb>
    <v>41</v>
  </rv>
  <rv s="0">
    <v>805306368</v>
    <v>Luigi Di Maio (Minister)</v>
    <v>59d427d5-9609-17e5-4e5f-0e2e4f3196e8</v>
    <v>en-AU</v>
    <v>Generic</v>
  </rv>
  <rv s="0">
    <v>805306368</v>
    <v>Dario Franceschini (Minister)</v>
    <v>31ede07d-910f-e904-68a6-678eff43cbf0</v>
    <v>en-AU</v>
    <v>Generic</v>
  </rv>
  <rv s="0">
    <v>805306368</v>
    <v>Roberto Speranza (Minister)</v>
    <v>3e649b4b-3f0f-4d27-00a0-d23ad8721780</v>
    <v>en-AU</v>
    <v>Generic</v>
  </rv>
  <rv s="0">
    <v>805306368</v>
    <v>Lorenzo Guerini (Minister)</v>
    <v>948864d5-85c6-2e1d-75ca-f9b475127724</v>
    <v>en-AU</v>
    <v>Generic</v>
  </rv>
  <rv s="2">
    <v>45</v>
  </rv>
  <rv s="3">
    <v>https://www.bing.com/search?q=italy&amp;form=skydnc</v>
    <v>Learn more on Bing</v>
  </rv>
  <rv s="1">
    <fb>82.946341463414697</fb>
    <v>41</v>
  </rv>
  <rv s="1">
    <fb>522087790000</fb>
    <v>43</v>
  </rv>
  <rv s="1">
    <fb>2</fb>
    <v>41</v>
  </rv>
  <rv s="2">
    <v>46</v>
  </rv>
  <rv s="1">
    <fb>0.2283268819</fb>
    <v>37</v>
  </rv>
  <rv s="1">
    <fb>3.9773999999999998</fb>
    <v>38</v>
  </rv>
  <rv s="1">
    <fb>60297396</fb>
    <v>11</v>
  </rv>
  <rv s="1">
    <fb>0.23</fb>
    <v>37</v>
  </rv>
  <rv s="1">
    <fb>0.26700000000000002</fb>
    <v>37</v>
  </rv>
  <rv s="1">
    <fb>0.42100000000000004</fb>
    <v>37</v>
  </rv>
  <rv s="1">
    <fb>1.9E-2</fb>
    <v>37</v>
  </rv>
  <rv s="1">
    <fb>0.06</fb>
    <v>37</v>
  </rv>
  <rv s="1">
    <fb>0.16899999999999998</fb>
    <v>37</v>
  </rv>
  <rv s="1">
    <fb>0.495550003051758</fb>
    <v>37</v>
  </rv>
  <rv s="0">
    <v>536870912</v>
    <v>Piedmont</v>
    <v>1a1b261b-a6b1-8503-5262-e2f707fe58ce</v>
    <v>en-AU</v>
    <v>Map</v>
  </rv>
  <rv s="0">
    <v>536870912</v>
    <v>Emilia-Romagna</v>
    <v>129d3426-cfe5-9154-2989-f246e1aa5cec</v>
    <v>en-AU</v>
    <v>Map</v>
  </rv>
  <rv s="0">
    <v>536870912</v>
    <v>Veneto</v>
    <v>6809e680-9adc-134d-ebe9-70b79f5adb5f</v>
    <v>en-AU</v>
    <v>Map</v>
  </rv>
  <rv s="0">
    <v>536870912</v>
    <v>Lombardy</v>
    <v>4e4d95c0-6e91-acd2-e10c-7165bc365e22</v>
    <v>en-AU</v>
    <v>Map</v>
  </rv>
  <rv s="0">
    <v>536870912</v>
    <v>Sicily</v>
    <v>610fbc95-e594-a116-6d30-36286446a003</v>
    <v>en-AU</v>
    <v>Map</v>
  </rv>
  <rv s="0">
    <v>536870912</v>
    <v>Tuscany</v>
    <v>a8854f08-da35-486d-5bd1-760f4eeb3da0</v>
    <v>en-AU</v>
    <v>Map</v>
  </rv>
  <rv s="0">
    <v>536870912</v>
    <v>Calabria</v>
    <v>87d05176-c03a-c209-fa72-dfafed738418</v>
    <v>en-AU</v>
    <v>Map</v>
  </rv>
  <rv s="0">
    <v>536870912</v>
    <v>Campania</v>
    <v>9933ef2b-24f2-a29d-6e4f-fe6bffe78694</v>
    <v>en-AU</v>
    <v>Map</v>
  </rv>
  <rv s="0">
    <v>536870912</v>
    <v>Sardinia</v>
    <v>2ac543b8-3c5f-c1c2-9c26-7153eb61c3d0</v>
    <v>en-AU</v>
    <v>Map</v>
  </rv>
  <rv s="0">
    <v>536870912</v>
    <v>Lazio</v>
    <v>e5d48b4e-72f5-da43-7854-da4784df7b51</v>
    <v>en-AU</v>
    <v>Map</v>
  </rv>
  <rv s="0">
    <v>536870912</v>
    <v>Abruzzo</v>
    <v>6d07734f-0734-da73-bda9-a2e9e44c1042</v>
    <v>en-AU</v>
    <v>Map</v>
  </rv>
  <rv s="0">
    <v>536870912</v>
    <v>Umbria</v>
    <v>a75c12d3-c6a9-ea7c-e844-577d1cfe72dd</v>
    <v>en-AU</v>
    <v>Map</v>
  </rv>
  <rv s="0">
    <v>536870912</v>
    <v>Apulia</v>
    <v>162619f7-7efb-76cc-0544-2da0306bd7c3</v>
    <v>en-AU</v>
    <v>Map</v>
  </rv>
  <rv s="0">
    <v>536870912</v>
    <v>Molise</v>
    <v>048932e0-ef04-999e-a84f-326f5eaf1b11</v>
    <v>en-AU</v>
    <v>Map</v>
  </rv>
  <rv s="0">
    <v>536870912</v>
    <v>Aosta Valley</v>
    <v>d9b216c7-5de6-eaf4-2383-5f7fc3075fdb</v>
    <v>en-AU</v>
    <v>Map</v>
  </rv>
  <rv s="0">
    <v>536870912</v>
    <v>Metropolitan City of Florence</v>
    <v>2f3f0535-482c-476a-1d8b-3d5f6fad7391</v>
    <v>en-AU</v>
    <v>Map</v>
  </rv>
  <rv s="0">
    <v>536870912</v>
    <v>Marche</v>
    <v>262ac8bf-0bbd-ba85-aef3-2130493eaa9b</v>
    <v>en-AU</v>
    <v>Map</v>
  </rv>
  <rv s="0">
    <v>536870912</v>
    <v>Trentino</v>
    <v>120cbbaa-1e9e-f708-d24c-faa311d321c4</v>
    <v>en-AU</v>
    <v>Map</v>
  </rv>
  <rv s="0">
    <v>536870912</v>
    <v>Metropolitan City of Milan</v>
    <v>bfabe2c1-21a8-e914-acd1-5fea8ea5dd97</v>
    <v>en-AU</v>
    <v>Map</v>
  </rv>
  <rv s="0">
    <v>536870912</v>
    <v>Province of Modena</v>
    <v>5440f9d7-7f7c-603d-adbd-e1a1d0236ec2</v>
    <v>en-AU</v>
    <v>Map</v>
  </rv>
  <rv s="0">
    <v>536870912</v>
    <v>Basilicata</v>
    <v>c286f639-68f8-3ed2-0119-87142c109b42</v>
    <v>en-AU</v>
    <v>Map</v>
  </rv>
  <rv s="0">
    <v>536870912</v>
    <v>Metropolitan City of Venice</v>
    <v>558e4220-5944-57d7-3d5c-ee9c55739f9d</v>
    <v>en-AU</v>
    <v>Map</v>
  </rv>
  <rv s="0">
    <v>536870912</v>
    <v>Province of Parma</v>
    <v>8dea1c07-f47d-5713-e2a8-39e495a8c4a2</v>
    <v>en-AU</v>
    <v>Map</v>
  </rv>
  <rv s="0">
    <v>536870912</v>
    <v>Trentino-Alto Adige/South Tyrol</v>
    <v>b537e28d-6f0c-d8cf-1384-534def0737dd</v>
    <v>en-AU</v>
    <v>Map</v>
  </rv>
  <rv s="0">
    <v>536870912</v>
    <v>Province of Brescia</v>
    <v>446a641b-a5d7-2aa4-9917-1d4c9ac2f472</v>
    <v>en-AU</v>
    <v>Map</v>
  </rv>
  <rv s="0">
    <v>536870912</v>
    <v>Metropolitan City of Bari</v>
    <v>790bdf08-e670-ceb7-9ab7-df76f11c0cd2</v>
    <v>en-AU</v>
    <v>Map</v>
  </rv>
  <rv s="0">
    <v>536870912</v>
    <v>Province of Campobasso</v>
    <v>c7d893b5-491a-33dd-bd2b-8d4a2984fe8c</v>
    <v>en-AU</v>
    <v>Map</v>
  </rv>
  <rv s="0">
    <v>536870912</v>
    <v>Province of Caltanissetta</v>
    <v>d40e7f08-9850-7e0d-8505-29b8d0a39703</v>
    <v>en-AU</v>
    <v>Map</v>
  </rv>
  <rv s="0">
    <v>536870912</v>
    <v>Province of Ascoli Piceno</v>
    <v>28b9088e-56b5-1589-e3e6-a91d695bd929</v>
    <v>en-AU</v>
    <v>Map</v>
  </rv>
  <rv s="0">
    <v>536870912</v>
    <v>Province of Isernia</v>
    <v>0e9a3793-704a-835a-9155-71483dc32ec8</v>
    <v>en-AU</v>
    <v>Map</v>
  </rv>
  <rv s="0">
    <v>536870912</v>
    <v>Province of Olbia-Tempio</v>
    <v>2bf37320-d9da-9428-a8ab-b58e03cfd182</v>
    <v>en-AU</v>
    <v>Map</v>
  </rv>
  <rv s="0">
    <v>536870912</v>
    <v>Province of Alessandria</v>
    <v>00958e2f-b46d-2584-0b58-3b805660d781</v>
    <v>en-AU</v>
    <v>Map</v>
  </rv>
  <rv s="0">
    <v>536870912</v>
    <v>Province of Nuoro</v>
    <v>5dbb194c-c19a-fd8f-7f4f-40c37f7e78ce</v>
    <v>en-AU</v>
    <v>Map</v>
  </rv>
  <rv s="0">
    <v>536870912</v>
    <v>Province of Carbonia-Iglesias</v>
    <v>38d153ed-3de2-68a1-667c-27ce9aa10938</v>
    <v>en-AU</v>
    <v>Map</v>
  </rv>
  <rv s="0">
    <v>536870912</v>
    <v>Province of Taranto</v>
    <v>ca4ced58-8536-2946-c39a-e082bd08bfc2</v>
    <v>en-AU</v>
    <v>Map</v>
  </rv>
  <rv s="0">
    <v>536870912</v>
    <v>Province of Vibo Valentia</v>
    <v>fb657409-aaca-a33e-cfdd-bf03f359656e</v>
    <v>en-AU</v>
    <v>Map</v>
  </rv>
  <rv s="0">
    <v>536870912</v>
    <v>Province of Ogliastra</v>
    <v>15704465-8842-6b4f-04e6-da3752d670b3</v>
    <v>en-AU</v>
    <v>Map</v>
  </rv>
  <rv s="0">
    <v>536870912</v>
    <v>Province of Verbano-Cusio-Ossola</v>
    <v>a44237ea-032d-5947-b103-2cf81f24ec30</v>
    <v>en-AU</v>
    <v>Map</v>
  </rv>
  <rv s="0">
    <v>536870912</v>
    <v>Province of Medio Campidano</v>
    <v>c072d2b9-0636-8673-ad61-de43ceafbff1</v>
    <v>en-AU</v>
    <v>Map</v>
  </rv>
  <rv s="0">
    <v>536870912</v>
    <v>Metropolitan City of Bologna</v>
    <v>6b7c135f-45ec-3dc4-72bd-639c8de52892</v>
    <v>en-AU</v>
    <v>Map</v>
  </rv>
  <rv s="0">
    <v>536870912</v>
    <v>Metropolitan City of Rome Capital</v>
    <v>76a6fcae-8c89-adab-ce40-a0d52e665024</v>
    <v>en-AU</v>
    <v>Map</v>
  </rv>
  <rv s="0">
    <v>536870912</v>
    <v>Metropolitan City of Naples</v>
    <v>aeb76b48-07bf-43a8-8941-86d06bb8bf02</v>
    <v>en-AU</v>
    <v>Map</v>
  </rv>
  <rv s="0">
    <v>536870912</v>
    <v>Metropolitan City of Turin</v>
    <v>cb9fd131-b82a-0d2d-6b03-03cebe7f6604</v>
    <v>en-AU</v>
    <v>Map</v>
  </rv>
  <rv s="0">
    <v>536870912</v>
    <v>Metropolitan City of Reggio Calabria</v>
    <v>e8f895ec-a35e-4175-95b5-4fa5282cba18</v>
    <v>en-AU</v>
    <v>Map</v>
  </rv>
  <rv s="2">
    <v>47</v>
  </rv>
  <rv s="1">
    <fb>0.24250464933068097</fb>
    <v>37</v>
  </rv>
  <rv s="1">
    <fb>0.59099999999999997</fb>
    <v>37</v>
  </rv>
  <rv s="1">
    <fb>9.8870000839233405E-2</fb>
    <v>45</v>
  </rv>
  <rv s="1">
    <fb>42651966</fb>
    <v>11</v>
  </rv>
  <rv s="16">
    <v>#VALUE!</v>
    <v>en-AU</v>
    <v>09e8f885-427b-8850-947d-202e0287b9e8</v>
    <v>536870912</v>
    <v>1</v>
    <v>181</v>
    <v>182</v>
    <v>Italy</v>
    <v>7</v>
    <v>35</v>
    <v>Map</v>
    <v>9</v>
    <v>183</v>
    <v>IT</v>
    <v>695</v>
    <v>696</v>
    <v>697</v>
    <v>698</v>
    <v>699</v>
    <v>700</v>
    <v>701</v>
    <v>702</v>
    <v>703</v>
    <v>EUR</v>
    <v>Italy, officially the Italian Republic or Republic of Italy, is a country that consists of a peninsula delimited by the Alps and several islands surrounding it, whose territory largely coincides with the homonymous geographical region. Italy is located in the middle of the Mediterranean Sea, in Southern Europe; it is also considered part of Western Europe. A unitary parliamentary republic with Rome as its capital and largest city, the country covers a total area of 301,230 km² and shares land borders with France, Switzerland, Austria, Slovenia, as well as the enclaved microstates of Vatican City and San Marino. Italy has a territorial exclave in Switzerland, Campione. With over 60 million inhabitants, Italy is the third-most populous member state of the European Union.</v>
    <v>704</v>
    <v>705</v>
    <v>706</v>
    <v>707</v>
    <v>708</v>
    <v>709</v>
    <v>710</v>
    <v>711</v>
    <v>712</v>
    <v>713</v>
    <v>700</v>
    <v>718</v>
    <v>719</v>
    <v>720</v>
    <v>721</v>
    <v>722</v>
    <v>Italy</v>
    <v>Il Canto degli Italiani</v>
    <v>723</v>
    <v>Italian Republic</v>
    <v>724</v>
    <v>725</v>
    <v>726</v>
    <v>727</v>
    <v>728</v>
    <v>729</v>
    <v>730</v>
    <v>731</v>
    <v>585</v>
    <v>732</v>
    <v>733</v>
    <v>778</v>
    <v>779</v>
    <v>67</v>
    <v>780</v>
    <v>781</v>
    <v>Italy</v>
    <v>782</v>
    <v>mdp/vdpid/118</v>
  </rv>
  <rv s="0">
    <v>536870912</v>
    <v>London</v>
    <v>8e0ba7b6-4225-fa8a-6369-1b5294e602a5</v>
    <v>en-AU</v>
    <v>Map</v>
  </rv>
  <rv s="0">
    <v>536870912</v>
    <v>England</v>
    <v>280d39e8-7217-6863-6980-a8c20c211c89</v>
    <v>en-AU</v>
    <v>Map</v>
  </rv>
  <rv s="0">
    <v>536870912</v>
    <v>Greater London</v>
    <v>2ba8a441-178c-f2c0-26cb-a4b260b8c806</v>
    <v>en-AU</v>
    <v>Map</v>
  </rv>
  <rv s="1">
    <fb>1572</fb>
    <v>11</v>
  </rv>
  <rv s="0">
    <v>536870912</v>
    <v>United Kingdom</v>
    <v>b1a5155a-6bb2-4646-8f7c-3e6b3a53c831</v>
    <v>en-AU</v>
    <v>Map</v>
  </rv>
  <rv s="1">
    <fb>51.500152399999997</fb>
    <v>12</v>
  </rv>
  <rv s="0">
    <v>805306368</v>
    <v>Sadiq Khan (Mayor)</v>
    <v>d7862dc2-4c03-1dc8-3412-7fe03041fdcb</v>
    <v>en-AU</v>
    <v>Generic</v>
  </rv>
  <rv s="2">
    <v>48</v>
  </rv>
  <rv s="3">
    <v>https://www.bing.com/search?q=london+england&amp;form=skydnc</v>
    <v>Learn more on Bing</v>
  </rv>
  <rv s="1">
    <fb>-0.12623619999999999</fb>
    <v>12</v>
  </rv>
  <rv s="1">
    <fb>9002488</fb>
    <v>11</v>
  </rv>
  <rv s="2">
    <v>49</v>
  </rv>
  <rv s="7">
    <v>#VALUE!</v>
    <v>en-AU</v>
    <v>8e0ba7b6-4225-fa8a-6369-1b5294e602a5</v>
    <v>536870912</v>
    <v>1</v>
    <v>189</v>
    <v>51</v>
    <v>London</v>
    <v>7</v>
    <v>8</v>
    <v>Map</v>
    <v>9</v>
    <v>190</v>
    <v>785</v>
    <v>786</v>
    <v>787</v>
    <v>788</v>
    <v>London is the capital and largest city of England and the United Kingdom, with a population of just over 9 million. It stands on the River Thames in south-east England at the head of a 50-mile estuary down to the North Sea, and has been a major settlement for two millennia. The City of London, its ancient core and financial centre, was founded by the Romans as Londinium and retains boundaries close to its medieval ones. Since the 19th century, the name "London" has also referred to the metropolis around this core, historically split between the counties of Middlesex, Essex, Surrey, Kent, and Hertfordshire, which largely comprises Greater London, governed by the Greater London Authority. The City of Westminster, to the west of the City of London, has for centuries held the national government and parliament.</v>
    <v>789</v>
    <v>791</v>
    <v>792</v>
    <v>793</v>
    <v>London</v>
    <v>794</v>
    <v>795</v>
    <v>London</v>
    <v>mdp/vdpid/5471798185326280713</v>
  </rv>
  <rv s="1">
    <fb>0.71714878141404492</fb>
    <v>37</v>
  </rv>
  <rv s="1">
    <fb>243610</fb>
    <v>11</v>
  </rv>
  <rv s="1">
    <fb>148000</fb>
    <v>11</v>
  </rv>
  <rv s="1">
    <fb>11</fb>
    <v>38</v>
  </rv>
  <rv s="1">
    <fb>44</fb>
    <v>39</v>
  </rv>
  <rv s="1">
    <fb>379024.78700000001</fb>
    <v>11</v>
  </rv>
  <rv s="1">
    <fb>119.622711300166</fb>
    <v>40</v>
  </rv>
  <rv s="1">
    <fb>1.7381046008651101E-2</fb>
    <v>37</v>
  </rv>
  <rv s="1">
    <fb>5129.5277927901998</fb>
    <v>11</v>
  </rv>
  <rv s="1">
    <fb>1.68</fb>
    <v>38</v>
  </rv>
  <rv s="1">
    <fb>0.130657628239573</fb>
    <v>37</v>
  </rv>
  <rv s="1">
    <fb>80.351771267255202</fb>
    <v>41</v>
  </rv>
  <rv s="1">
    <fb>1.46</fb>
    <v>42</v>
  </rv>
  <rv s="1">
    <fb>2827113184695.5801</fb>
    <v>43</v>
  </rv>
  <rv s="1">
    <fb>1.0115456</fb>
    <v>37</v>
  </rv>
  <rv s="1">
    <fb>0.59995569999999998</fb>
    <v>37</v>
  </rv>
  <rv s="5">
    <v>6</v>
    <v>9</v>
    <v>200</v>
    <v>6</v>
    <v>0</v>
    <v>Image of United Kingdom</v>
  </rv>
  <rv s="1">
    <fb>3.6</fb>
    <v>41</v>
  </rv>
  <rv s="0">
    <v>805306368</v>
    <v>Boris Johnson (Prime Minister)</v>
    <v>fe217755-2d46-1c61-dded-740ff4500899</v>
    <v>en-AU</v>
    <v>Generic</v>
  </rv>
  <rv s="0">
    <v>805306368</v>
    <v>Justine Greening (Minister)</v>
    <v>7aff4253-0f04-ea8e-9418-a9ef69475621</v>
    <v>en-AU</v>
    <v>Generic</v>
  </rv>
  <rv s="0">
    <v>805306368</v>
    <v>Nadhim Zahawi (Minister)</v>
    <v>394346ee-f3b1-c53c-2bcd-8d22bdee8814</v>
    <v>en-AU</v>
    <v>Generic</v>
  </rv>
  <rv s="0">
    <v>805306368</v>
    <v>Natalie Evans, Baroness Evans of Bowes Park (Minister)</v>
    <v>fcf767e2-c1da-d731-e0f0-696a3bd436b5</v>
    <v>en-AU</v>
    <v>Generic</v>
  </rv>
  <rv s="2">
    <v>50</v>
  </rv>
  <rv s="3">
    <v>https://www.bing.com/search?q=united+kingdom&amp;form=skydnc</v>
    <v>Learn more on Bing</v>
  </rv>
  <rv s="1">
    <fb>81.256097560975604</fb>
    <v>41</v>
  </rv>
  <rv s="1">
    <fb>1868152970000</fb>
    <v>43</v>
  </rv>
  <rv s="1">
    <fb>10.130000000000001</fb>
    <v>42</v>
  </rv>
  <rv s="2">
    <v>51</v>
  </rv>
  <rv s="1">
    <fb>0.14794489889999998</fb>
    <v>37</v>
  </rv>
  <rv s="1">
    <fb>2.8117000000000001</fb>
    <v>38</v>
  </rv>
  <rv s="1">
    <fb>66834405</fb>
    <v>11</v>
  </rv>
  <rv s="1">
    <fb>0.22500000000000001</fb>
    <v>37</v>
  </rv>
  <rv s="1">
    <fb>0.26800000000000002</fb>
    <v>37</v>
  </rv>
  <rv s="1">
    <fb>2.7999999999999997E-2</fb>
    <v>37</v>
  </rv>
  <rv s="1">
    <fb>7.0999999999999994E-2</fb>
    <v>37</v>
  </rv>
  <rv s="1">
    <fb>0.11900000000000001</fb>
    <v>37</v>
  </rv>
  <rv s="1">
    <fb>0.16399999999999998</fb>
    <v>37</v>
  </rv>
  <rv s="1">
    <fb>0.62773998260497998</fb>
    <v>37</v>
  </rv>
  <rv s="0">
    <v>536870912</v>
    <v>Devon</v>
    <v>5ad1bd45-b1d3-1dd7-13e3-f0ecea97ece7</v>
    <v>en-AU</v>
    <v>Map</v>
  </rv>
  <rv s="0">
    <v>536870912</v>
    <v>Somerset</v>
    <v>2b333df9-032c-c9b1-0d74-88ea8c5befbd</v>
    <v>en-AU</v>
    <v>Map</v>
  </rv>
  <rv s="0">
    <v>536870912</v>
    <v>Lancashire</v>
    <v>d2ddd91b-d3db-c97c-d4e1-b66d033659fa</v>
    <v>en-AU</v>
    <v>Map</v>
  </rv>
  <rv s="0">
    <v>536870912</v>
    <v>Liverpool</v>
    <v>a5642e81-20ab-a561-17cc-52a63926b210</v>
    <v>en-AU</v>
    <v>Map</v>
  </rv>
  <rv s="0">
    <v>536870912</v>
    <v>Newcastle upon Tyne</v>
    <v>e1ab16e3-5050-dafb-7e90-7ceb4efd055d</v>
    <v>en-AU</v>
    <v>Map</v>
  </rv>
  <rv s="0">
    <v>536870912</v>
    <v>City of London</v>
    <v>3513d611-e6ca-408d-8d00-c93a427d32ad</v>
    <v>en-AU</v>
    <v>Map</v>
  </rv>
  <rv s="0">
    <v>536870912</v>
    <v>Stoke-on-Trent</v>
    <v>2efa6384-eb20-dbf0-d19a-2c63f3b239fb</v>
    <v>en-AU</v>
    <v>Map</v>
  </rv>
  <rv s="0">
    <v>536870912</v>
    <v>Cornwall</v>
    <v>7ce7e82d-6d0f-f7b6-daf4-9018d403a859</v>
    <v>en-AU</v>
    <v>Map</v>
  </rv>
  <rv s="0">
    <v>536870912</v>
    <v>Derbyshire</v>
    <v>a3be3ce0-6a5c-7632-5ef1-6034834ffe0e</v>
    <v>en-AU</v>
    <v>Map</v>
  </rv>
  <rv s="0">
    <v>536870912</v>
    <v>Worcestershire</v>
    <v>92b6b35e-17f8-7d50-a89b-650c809a2158</v>
    <v>en-AU</v>
    <v>Map</v>
  </rv>
  <rv s="0">
    <v>536870912</v>
    <v>Norfolk</v>
    <v>1f7d5120-8b19-7582-e7d0-2351c715f854</v>
    <v>en-AU</v>
    <v>Map</v>
  </rv>
  <rv s="0">
    <v>536870912</v>
    <v>Lincolnshire</v>
    <v>1b1b62b6-be46-b598-310b-b10fe8c992b8</v>
    <v>en-AU</v>
    <v>Map</v>
  </rv>
  <rv s="0">
    <v>536870912</v>
    <v>Northamptonshire</v>
    <v>6b5ff743-48aa-7f30-4bfe-97eeede8e6fa</v>
    <v>en-AU</v>
    <v>Map</v>
  </rv>
  <rv s="0">
    <v>536870912</v>
    <v>Surrey</v>
    <v>4e00ff19-370b-4752-b12d-9b5088a81c75</v>
    <v>en-AU</v>
    <v>Map</v>
  </rv>
  <rv s="0">
    <v>536870912</v>
    <v>Shropshire</v>
    <v>620367d1-f8ad-2237-2ba3-9bd995d6cb3e</v>
    <v>en-AU</v>
    <v>Map</v>
  </rv>
  <rv s="0">
    <v>536870912</v>
    <v>Isle of Wight</v>
    <v>95d8ced0-437b-28ff-5329-8fbf91940733</v>
    <v>en-AU</v>
    <v>Map</v>
  </rv>
  <rv s="0">
    <v>536870912</v>
    <v>Buckinghamshire</v>
    <v>ff464c2a-d8cf-cd5b-431b-50f9494b808a</v>
    <v>en-AU</v>
    <v>Map</v>
  </rv>
  <rv s="0">
    <v>536870912</v>
    <v>Wiltshire</v>
    <v>4ebe79fa-f77b-5216-7ef9-f8ea04679349</v>
    <v>en-AU</v>
    <v>Map</v>
  </rv>
  <rv s="0">
    <v>536870912</v>
    <v>Coventry</v>
    <v>452272b4-d4d5-224d-223b-58b995e82185</v>
    <v>en-AU</v>
    <v>Map</v>
  </rv>
  <rv s="0">
    <v>536870912</v>
    <v>Warrington</v>
    <v>4079f4c4-ee00-1666-ed95-342e8d1634e2</v>
    <v>en-AU</v>
    <v>Map</v>
  </rv>
  <rv s="0">
    <v>536870912</v>
    <v>Bournemouth</v>
    <v>798e72ae-7e6b-eaba-0080-5e2b222ddfb7</v>
    <v>en-AU</v>
    <v>Map</v>
  </rv>
  <rv s="0">
    <v>536870912</v>
    <v>Blackpool</v>
    <v>a2968ee5-f872-4ab4-6479-95727f9bc6a7</v>
    <v>en-AU</v>
    <v>Map</v>
  </rv>
  <rv s="0">
    <v>536870912</v>
    <v>County Durham</v>
    <v>326adeba-4a25-fb10-67b8-480c6d7f4b2d</v>
    <v>en-AU</v>
    <v>Map</v>
  </rv>
  <rv s="0">
    <v>536870912</v>
    <v>Cumbria</v>
    <v>a192dc6e-69b1-5d04-741f-67720ce0ebfc</v>
    <v>en-AU</v>
    <v>Map</v>
  </rv>
  <rv s="0">
    <v>536870912</v>
    <v>Dorset</v>
    <v>248ebd80-8904-8a43-be23-3cd065a30350</v>
    <v>en-AU</v>
    <v>Map</v>
  </rv>
  <rv s="0">
    <v>536870912</v>
    <v>West Sussex</v>
    <v>6fef3193-51df-c781-5d99-8b60839e1cf9</v>
    <v>en-AU</v>
    <v>Map</v>
  </rv>
  <rv s="0">
    <v>536870912</v>
    <v>Hampshire</v>
    <v>2d3a57b7-ee5f-c34a-1ce7-09a573697693</v>
    <v>en-AU</v>
    <v>Map</v>
  </rv>
  <rv s="0">
    <v>536870912</v>
    <v>Suffolk</v>
    <v>b891db46-5bbb-53eb-6a27-28ae58d995e9</v>
    <v>en-AU</v>
    <v>Map</v>
  </rv>
  <rv s="0">
    <v>536870912</v>
    <v>Scotland</v>
    <v>a0377d96-1a18-f843-65ad-adcbc4acdc69</v>
    <v>en-AU</v>
    <v>Map</v>
  </rv>
  <rv s="0">
    <v>536870912</v>
    <v>Newport</v>
    <v>eb987e3b-b3c7-4072-08fa-b6ba938b35e1</v>
    <v>en-AU</v>
    <v>Map</v>
  </rv>
  <rv s="0">
    <v>536870912</v>
    <v>York</v>
    <v>a60ce14b-6919-f15c-15bd-5d5494ff8598</v>
    <v>en-AU</v>
    <v>Map</v>
  </rv>
  <rv s="0">
    <v>536870912</v>
    <v>Derby</v>
    <v>137d5451-9100-4ac6-b03e-fbc72ac322f4</v>
    <v>en-AU</v>
    <v>Map</v>
  </rv>
  <rv s="0">
    <v>536870912</v>
    <v>Reading</v>
    <v>281a95af-ccff-e632-516d-0f60d9882cfd</v>
    <v>en-AU</v>
    <v>Map</v>
  </rv>
  <rv s="0">
    <v>536870912</v>
    <v>Nottingham</v>
    <v>fd1f499f-6103-6a87-cddd-2086efabf88f</v>
    <v>en-AU</v>
    <v>Map</v>
  </rv>
  <rv s="0">
    <v>536870912</v>
    <v>Nottinghamshire</v>
    <v>474ecb67-f819-ecef-a259-d24741044ebd</v>
    <v>en-AU</v>
    <v>Map</v>
  </rv>
  <rv s="0">
    <v>536870912</v>
    <v>Sheffield</v>
    <v>41dbe832-f699-1fd7-e3b3-fbdcbd0167eb</v>
    <v>en-AU</v>
    <v>Map</v>
  </rv>
  <rv s="0">
    <v>536870912</v>
    <v>Leicestershire</v>
    <v>4b2d786f-4d40-dd9a-2c29-31c1db8a6dd3</v>
    <v>en-AU</v>
    <v>Map</v>
  </rv>
  <rv s="0">
    <v>536870912</v>
    <v>Gloucestershire</v>
    <v>eab8d5d9-01a7-f0db-d230-ec907f822254</v>
    <v>en-AU</v>
    <v>Map</v>
  </rv>
  <rv s="0">
    <v>536870912</v>
    <v>Birmingham</v>
    <v>aaac0a14-911d-49c8-ac97-51d9f9100ad7</v>
    <v>en-AU</v>
    <v>Map</v>
  </rv>
  <rv s="0">
    <v>536870912</v>
    <v>Isles of Scilly</v>
    <v>cbd82567-ce28-513c-27d4-0452c5504f8b</v>
    <v>en-AU</v>
    <v>Map</v>
  </rv>
  <rv s="0">
    <v>536870912</v>
    <v>Oxfordshire</v>
    <v>1eda598d-62bc-9a62-5694-ee4472f8dcf5</v>
    <v>en-AU</v>
    <v>Map</v>
  </rv>
  <rv s="0">
    <v>536870912</v>
    <v>Staffordshire</v>
    <v>8af62e75-98e5-6987-9d37-3061b70d0365</v>
    <v>en-AU</v>
    <v>Map</v>
  </rv>
  <rv s="0">
    <v>536870912</v>
    <v>Warwickshire</v>
    <v>f1173647-228f-1554-f0d8-39e325d478af</v>
    <v>en-AU</v>
    <v>Map</v>
  </rv>
  <rv s="0">
    <v>536870912</v>
    <v>Wales</v>
    <v>b51b24e1-6afb-d525-d360-f2eb5bf3410b</v>
    <v>en-AU</v>
    <v>Map</v>
  </rv>
  <rv s="0">
    <v>536870912</v>
    <v>Northumberland</v>
    <v>86a3fee3-ba4c-f565-1ce4-449912831e53</v>
    <v>en-AU</v>
    <v>Map</v>
  </rv>
  <rv s="0">
    <v>536870912</v>
    <v>East Sussex</v>
    <v>4a646622-0fa1-ec75-7268-69cce45dbd22</v>
    <v>en-AU</v>
    <v>Map</v>
  </rv>
  <rv s="0">
    <v>536870912</v>
    <v>Manchester</v>
    <v>35dddbb1-7bb3-4072-bfd5-f9e6570713b0</v>
    <v>en-AU</v>
    <v>Map</v>
  </rv>
  <rv s="0">
    <v>536870912</v>
    <v>North Yorkshire</v>
    <v>fb1d8fdd-e4d5-f9a0-5f8c-1a03f3c7dad4</v>
    <v>en-AU</v>
    <v>Map</v>
  </rv>
  <rv s="0">
    <v>536870912</v>
    <v>Kent</v>
    <v>254f7086-5bb1-bdbf-8511-000e19ec575a</v>
    <v>en-AU</v>
    <v>Map</v>
  </rv>
  <rv s="0">
    <v>536870912</v>
    <v>Plymouth</v>
    <v>a3e2c1e6-1f92-c845-835d-3b78083edf28</v>
    <v>en-AU</v>
    <v>Map</v>
  </rv>
  <rv s="0">
    <v>536870912</v>
    <v>Kingston upon Hull</v>
    <v>c2d2e2f2-1587-bacd-a08a-017a722bf4f3</v>
    <v>en-AU</v>
    <v>Map</v>
  </rv>
  <rv s="0">
    <v>536870912</v>
    <v>Bristol</v>
    <v>3a2b5f36-3aab-be4b-07ef-da515a676e60</v>
    <v>en-AU</v>
    <v>Map</v>
  </rv>
  <rv s="0">
    <v>536870912</v>
    <v>Leicester</v>
    <v>88af3d23-ab3c-0468-1391-254a59804943</v>
    <v>en-AU</v>
    <v>Map</v>
  </rv>
  <rv s="0">
    <v>536870912</v>
    <v>Southampton</v>
    <v>c459ea11-71e5-3eae-977c-7a7ac56e054d</v>
    <v>en-AU</v>
    <v>Map</v>
  </rv>
  <rv s="0">
    <v>536870912</v>
    <v>Wolverhampton</v>
    <v>a4e729ad-f9ef-fbc2-5496-659379e68cc8</v>
    <v>en-AU</v>
    <v>Map</v>
  </rv>
  <rv s="0">
    <v>536870912</v>
    <v>Portsmouth</v>
    <v>337425e1-03f7-5cdc-cf78-5fb9639fcc32</v>
    <v>en-AU</v>
    <v>Map</v>
  </rv>
  <rv s="0">
    <v>536870912</v>
    <v>Luton</v>
    <v>f00d5748-ef3f-0016-e774-64ef25551a8e</v>
    <v>en-AU</v>
    <v>Map</v>
  </rv>
  <rv s="0">
    <v>536870912</v>
    <v>Slough</v>
    <v>abfe29f2-7624-f440-e5c1-83347196e0b5</v>
    <v>en-AU</v>
    <v>Map</v>
  </rv>
  <rv s="0">
    <v>536870912</v>
    <v>Peterborough</v>
    <v>62489622-eccf-7222-2856-6fff39f80df8</v>
    <v>en-AU</v>
    <v>Map</v>
  </rv>
  <rv s="0">
    <v>536870912</v>
    <v>Poole</v>
    <v>cc1b9a88-ec7e-57fa-3120-f797177b9ece</v>
    <v>en-AU</v>
    <v>Map</v>
  </rv>
  <rv s="0">
    <v>536870912</v>
    <v>London Borough of Richmond upon Thames</v>
    <v>330d56ea-b71b-f6c8-32ac-1c0f219611a4</v>
    <v>en-AU</v>
    <v>Map</v>
  </rv>
  <rv s="0">
    <v>536870912</v>
    <v>Middlesbrough</v>
    <v>8b36aad5-43a9-73f0-207c-ad3765927011</v>
    <v>en-AU</v>
    <v>Map</v>
  </rv>
  <rv s="0">
    <v>536870912</v>
    <v>Hertfordshire</v>
    <v>070f9acc-7c22-7b21-6d9a-6d46b9aa876a</v>
    <v>en-AU</v>
    <v>Map</v>
  </rv>
  <rv s="0">
    <v>536870912</v>
    <v>Cambridgeshire</v>
    <v>bc02c14b-0035-fc4c-411f-168edbf62536</v>
    <v>en-AU</v>
    <v>Map</v>
  </rv>
  <rv s="0">
    <v>536870912</v>
    <v>West Berkshire</v>
    <v>24ab4528-6d4a-2364-a87a-5ce1744b2fd9</v>
    <v>en-AU</v>
    <v>Map</v>
  </rv>
  <rv s="0">
    <v>536870912</v>
    <v>Herefordshire</v>
    <v>f586d43a-d582-5c49-952e-b296001cdbe1</v>
    <v>en-AU</v>
    <v>Map</v>
  </rv>
  <rv s="0">
    <v>536870912</v>
    <v>Rutland</v>
    <v>39bb7744-90c5-e3fa-c4f7-7e89bf42f3a9</v>
    <v>en-AU</v>
    <v>Map</v>
  </rv>
  <rv s="0">
    <v>536870912</v>
    <v>Essex</v>
    <v>5c034f63-79be-7ab6-5ae6-b57d985a0e50</v>
    <v>en-AU</v>
    <v>Map</v>
  </rv>
  <rv s="0">
    <v>536870912</v>
    <v>Edinburgh</v>
    <v>286af946-edea-5f33-df53-4164821c69da</v>
    <v>en-AU</v>
    <v>Map</v>
  </rv>
  <rv s="0">
    <v>536870912</v>
    <v>Glasgow</v>
    <v>da2548ee-1b26-f939-06b4-2fae57e075e7</v>
    <v>en-AU</v>
    <v>Map</v>
  </rv>
  <rv s="0">
    <v>536870912</v>
    <v>Cardiff</v>
    <v>cdfaa940-1a8c-2522-2bf5-e09831059c8c</v>
    <v>en-AU</v>
    <v>Map</v>
  </rv>
  <rv s="0">
    <v>536870912</v>
    <v>Dundee</v>
    <v>26e6ea64-8197-1c44-a767-91d93e3e7e60</v>
    <v>en-AU</v>
    <v>Map</v>
  </rv>
  <rv s="0">
    <v>536870912</v>
    <v>Gwynedd</v>
    <v>4696c15a-9117-8701-d989-35980505aaba</v>
    <v>en-AU</v>
    <v>Map</v>
  </rv>
  <rv s="0">
    <v>536870912</v>
    <v>Northern Ireland</v>
    <v>e4b8bc44-385c-e87b-bb7d-b32328f53502</v>
    <v>en-AU</v>
    <v>Map</v>
  </rv>
  <rv s="0">
    <v>536870912</v>
    <v>Aberdeenshire</v>
    <v>b81a7eb6-c957-282c-9953-e0c1798b2eb6</v>
    <v>en-AU</v>
    <v>Map</v>
  </rv>
  <rv s="0">
    <v>536870912</v>
    <v>Merthyr Tydfil</v>
    <v>067b1107-205b-0f64-187e-94c55c7c82a3</v>
    <v>en-AU</v>
    <v>Map</v>
  </rv>
  <rv s="0">
    <v>536870912</v>
    <v>Aberdeen</v>
    <v>e99cc5fc-69e5-a8a6-e0bb-bade5ce6f2e7</v>
    <v>en-AU</v>
    <v>Map</v>
  </rv>
  <rv s="0">
    <v>536870912</v>
    <v>West Lothian</v>
    <v>c3c56189-7090-194e-859f-d3fbb1781795</v>
    <v>en-AU</v>
    <v>Map</v>
  </rv>
  <rv s="0">
    <v>536870912</v>
    <v>Belfast</v>
    <v>066bd7c2-af77-6ff0-3347-a0c3ed0a34f4</v>
    <v>en-AU</v>
    <v>Map</v>
  </rv>
  <rv s="0">
    <v>536870912</v>
    <v>Wrexham County Borough</v>
    <v>3c28a426-f3d1-4876-8049-750e76d56950</v>
    <v>en-AU</v>
    <v>Map</v>
  </rv>
  <rv s="0">
    <v>536870912</v>
    <v>Swansea</v>
    <v>ca0c6bd0-fcf5-4af4-618e-0dcc81e904f1</v>
    <v>en-AU</v>
    <v>Map</v>
  </rv>
  <rv s="0">
    <v>536870912</v>
    <v>Carmarthenshire</v>
    <v>1d3b8c9e-4e53-0b68-e9b4-8eddd9ffd0bc</v>
    <v>en-AU</v>
    <v>Map</v>
  </rv>
  <rv s="0">
    <v>536870912</v>
    <v>Midlothian</v>
    <v>9c548132-3419-5bc6-56ca-e1373dcfe23c</v>
    <v>en-AU</v>
    <v>Map</v>
  </rv>
  <rv s="0">
    <v>536870912</v>
    <v>Fife</v>
    <v>54a585e4-03af-cb0b-6dc0-35d8c58407f5</v>
    <v>en-AU</v>
    <v>Map</v>
  </rv>
  <rv s="0">
    <v>536870912</v>
    <v>East Lothian</v>
    <v>0fbdbf9c-787c-9fa5-4e8a-acfd4aaff046</v>
    <v>en-AU</v>
    <v>Map</v>
  </rv>
  <rv s="0">
    <v>536870912</v>
    <v>Flintshire</v>
    <v>154b78b5-e707-2db6-6f66-f6a938690d05</v>
    <v>en-AU</v>
    <v>Map</v>
  </rv>
  <rv s="0">
    <v>536870912</v>
    <v>Anglesey</v>
    <v>5207525e-c76a-4aec-33af-64384c5a6e0c</v>
    <v>en-AU</v>
    <v>Map</v>
  </rv>
  <rv s="0">
    <v>536870912</v>
    <v>Dumfries and Galloway</v>
    <v>166abd1b-5753-3637-40eb-61aaf9738a0b</v>
    <v>en-AU</v>
    <v>Map</v>
  </rv>
  <rv s="0">
    <v>536870912</v>
    <v>Pembrokeshire</v>
    <v>4925e50e-8717-4f5f-2bfd-0bfe0c525744</v>
    <v>en-AU</v>
    <v>Map</v>
  </rv>
  <rv s="0">
    <v>536870912</v>
    <v>Powys</v>
    <v>5d9c5f00-6996-2dfd-d223-c8de2ee5eca5</v>
    <v>en-AU</v>
    <v>Map</v>
  </rv>
  <rv s="0">
    <v>536870912</v>
    <v>City of Westminster</v>
    <v>63ce8294-e571-7282-75aa-205efd425a22</v>
    <v>en-AU</v>
    <v>Map</v>
  </rv>
  <rv s="0">
    <v>536870912</v>
    <v>Vale of Glamorgan</v>
    <v>94cdbb31-cc8e-b56e-7be6-54e42315cdbf</v>
    <v>en-AU</v>
    <v>Map</v>
  </rv>
  <rv s="0">
    <v>536870912</v>
    <v>Ceredigion</v>
    <v>7b38a8a3-f389-b19c-ae91-3d0d4ca3273b</v>
    <v>en-AU</v>
    <v>Map</v>
  </rv>
  <rv s="0">
    <v>536870912</v>
    <v>Royal Borough of Greenwich</v>
    <v>69a30182-b3c0-474a-ff80-5e14c2516e95</v>
    <v>en-AU</v>
    <v>Map</v>
  </rv>
  <rv s="0">
    <v>536870912</v>
    <v>Orkney</v>
    <v>041d9a1c-58a6-ca2b-d149-0546a069bef4</v>
    <v>en-AU</v>
    <v>Map</v>
  </rv>
  <rv s="0">
    <v>536870912</v>
    <v>Southend-on-Sea</v>
    <v>7da0961f-3c65-9262-1fa3-d36b06c3c72c</v>
    <v>en-AU</v>
    <v>Map</v>
  </rv>
  <rv s="0">
    <v>536870912</v>
    <v>Trafford</v>
    <v>88dd02ca-7d6b-61b2-cbec-c00dae5fc203</v>
    <v>en-AU</v>
    <v>Map</v>
  </rv>
  <rv s="0">
    <v>536870912</v>
    <v>London Borough of Camden</v>
    <v>427b51f0-5efc-c4ce-8007-d7db16792348</v>
    <v>en-AU</v>
    <v>Map</v>
  </rv>
  <rv s="0">
    <v>536870912</v>
    <v>City of Salford</v>
    <v>0d97218d-4223-6a9d-b74c-6f674d3df8ad</v>
    <v>en-AU</v>
    <v>Map</v>
  </rv>
  <rv s="0">
    <v>536870912</v>
    <v>Shetland</v>
    <v>69917bcc-72c4-054c-7b8b-59e2e6e6d054</v>
    <v>en-AU</v>
    <v>Map</v>
  </rv>
  <rv s="0">
    <v>536870912</v>
    <v>London Borough of Ealing</v>
    <v>77aca5f9-73b2-ac32-7da9-829325532b67</v>
    <v>en-AU</v>
    <v>Map</v>
  </rv>
  <rv s="0">
    <v>536870912</v>
    <v>Kirklees</v>
    <v>7fdc5fe4-3ddc-2d3f-0ba1-f1c30887c0c4</v>
    <v>en-AU</v>
    <v>Map</v>
  </rv>
  <rv s="0">
    <v>536870912</v>
    <v>London Borough of Hackney</v>
    <v>76c7413e-fd75-9503-c844-f948f920bf50</v>
    <v>en-AU</v>
    <v>Map</v>
  </rv>
  <rv s="0">
    <v>536870912</v>
    <v>Royal Borough of Kensington and Chelsea</v>
    <v>c8bf96b0-bbe9-7147-b91d-e4f05eeeaa4c</v>
    <v>en-AU</v>
    <v>Map</v>
  </rv>
  <rv s="0">
    <v>536870912</v>
    <v>Sandwell</v>
    <v>7578a257-fbbb-a33c-1ae8-09f08c610682</v>
    <v>en-AU</v>
    <v>Map</v>
  </rv>
  <rv s="0">
    <v>536870912</v>
    <v>Caerphilly County Borough</v>
    <v>6d897151-929a-c376-fe6c-d2ecbf6d0096</v>
    <v>en-AU</v>
    <v>Map</v>
  </rv>
  <rv s="0">
    <v>536870912</v>
    <v>City of Bradford</v>
    <v>2fb792af-f38f-dc28-e920-682ea0f4dd1e</v>
    <v>en-AU</v>
    <v>Map</v>
  </rv>
  <rv s="0">
    <v>536870912</v>
    <v>Royal Borough of Kingston upon Thames</v>
    <v>a7e7bf4f-aaf6-b38c-c6f1-3cece81a7c73</v>
    <v>en-AU</v>
    <v>Map</v>
  </rv>
  <rv s="0">
    <v>536870912</v>
    <v>Calderdale</v>
    <v>5924493e-e100-57de-1e2c-616b7f16fb75</v>
    <v>en-AU</v>
    <v>Map</v>
  </rv>
  <rv s="0">
    <v>536870912</v>
    <v>London Borough of Barking and Dagenham</v>
    <v>2c34f629-9085-faea-d501-72c74db2e99e</v>
    <v>en-AU</v>
    <v>Map</v>
  </rv>
  <rv s="0">
    <v>536870912</v>
    <v>London Borough of Newham</v>
    <v>6f66bcdb-5f1f-dc38-5bcd-6cf54619476b</v>
    <v>en-AU</v>
    <v>Map</v>
  </rv>
  <rv s="0">
    <v>536870912</v>
    <v>London Borough of Croydon</v>
    <v>a9d4124c-1c82-3830-538a-6e730fd78ca2</v>
    <v>en-AU</v>
    <v>Map</v>
  </rv>
  <rv s="0">
    <v>536870912</v>
    <v>London Borough of Hammersmith and Fulham</v>
    <v>51eedf66-5a54-e2da-0786-904cd2ae5e01</v>
    <v>en-AU</v>
    <v>Map</v>
  </rv>
  <rv s="0">
    <v>536870912</v>
    <v>London Borough of Barnet</v>
    <v>1415c296-3271-e593-e550-6baa54d0be91</v>
    <v>en-AU</v>
    <v>Map</v>
  </rv>
  <rv s="0">
    <v>536870912</v>
    <v>Brighton and Hove</v>
    <v>297cae4c-741d-4091-0d17-7a0cb4dfc072</v>
    <v>en-AU</v>
    <v>Map</v>
  </rv>
  <rv s="0">
    <v>536870912</v>
    <v>London Borough of Wandsworth</v>
    <v>53aa5bbb-0a68-ec05-93a9-8fa5ae4c0035</v>
    <v>en-AU</v>
    <v>Map</v>
  </rv>
  <rv s="0">
    <v>536870912</v>
    <v>London Borough of Enfield</v>
    <v>7c4de49e-3914-6146-453f-83960bc60157</v>
    <v>en-AU</v>
    <v>Map</v>
  </rv>
  <rv s="0">
    <v>536870912</v>
    <v>London Borough of Brent</v>
    <v>87fcc92f-bb25-a5db-2917-0297b7cc7006</v>
    <v>en-AU</v>
    <v>Map</v>
  </rv>
  <rv s="0">
    <v>536870912</v>
    <v>London Borough of Redbridge</v>
    <v>25ce92d8-1ab5-04ff-f1eb-644dc5a2b326</v>
    <v>en-AU</v>
    <v>Map</v>
  </rv>
  <rv s="0">
    <v>536870912</v>
    <v>London Borough of Lambeth</v>
    <v>601c1f89-26d4-d4e8-5de2-23643ae45707</v>
    <v>en-AU</v>
    <v>Map</v>
  </rv>
  <rv s="0">
    <v>536870912</v>
    <v>London Borough of Hillingdon</v>
    <v>adce1ab7-1b39-eea4-bbdd-78e6be2aaa2e</v>
    <v>en-AU</v>
    <v>Map</v>
  </rv>
  <rv s="0">
    <v>536870912</v>
    <v>London Borough of Islington</v>
    <v>fffc642f-7ca5-55b3-c338-3cba1b932d55</v>
    <v>en-AU</v>
    <v>Map</v>
  </rv>
  <rv s="0">
    <v>536870912</v>
    <v>London Borough of Tower Hamlets</v>
    <v>b55b7e9b-cc89-eb16-0ee2-ef35b73001a0</v>
    <v>en-AU</v>
    <v>Map</v>
  </rv>
  <rv s="0">
    <v>536870912</v>
    <v>London Borough of Hounslow</v>
    <v>a393f5fb-5fb3-19ff-52cf-267a06915d2f</v>
    <v>en-AU</v>
    <v>Map</v>
  </rv>
  <rv s="0">
    <v>536870912</v>
    <v>London Borough of Merton</v>
    <v>8e4ee7a7-2b94-344c-b740-c768658bb561</v>
    <v>en-AU</v>
    <v>Map</v>
  </rv>
  <rv s="0">
    <v>536870912</v>
    <v>London Borough of Southwark</v>
    <v>6ff0cd7b-6e7e-3ceb-7dad-6e0d2c1da0c3</v>
    <v>en-AU</v>
    <v>Map</v>
  </rv>
  <rv s="0">
    <v>536870912</v>
    <v>London Borough of Harrow</v>
    <v>0365592b-9270-e980-6139-aa2a4615cdb3</v>
    <v>en-AU</v>
    <v>Map</v>
  </rv>
  <rv s="0">
    <v>536870912</v>
    <v>London Borough of Waltham Forest</v>
    <v>7da02390-10d4-e36c-314f-ea514faa62e6</v>
    <v>en-AU</v>
    <v>Map</v>
  </rv>
  <rv s="0">
    <v>536870912</v>
    <v>London Borough of Havering</v>
    <v>b14e42eb-0997-fe1c-4049-b8f437a869de</v>
    <v>en-AU</v>
    <v>Map</v>
  </rv>
  <rv s="0">
    <v>536870912</v>
    <v>Denbighshire</v>
    <v>d9b0986c-3824-a9c1-8788-f8c20d153ff5</v>
    <v>en-AU</v>
    <v>Map</v>
  </rv>
  <rv s="0">
    <v>536870912</v>
    <v>London Borough of Haringey</v>
    <v>942466ed-2570-73ac-4497-51fccd9667ac</v>
    <v>en-AU</v>
    <v>Map</v>
  </rv>
  <rv s="0">
    <v>536870912</v>
    <v>London Borough of Lewisham</v>
    <v>105eeb6e-338a-1994-b9e3-fa5b63eb79fd</v>
    <v>en-AU</v>
    <v>Map</v>
  </rv>
  <rv s="0">
    <v>536870912</v>
    <v>Monmouthshire</v>
    <v>81bc2422-be5c-4cd9-8614-3b9b226c7154</v>
    <v>en-AU</v>
    <v>Map</v>
  </rv>
  <rv s="0">
    <v>536870912</v>
    <v>London Borough of Bromley</v>
    <v>5fbe984e-fdf2-c1a4-c9e0-c9ae9a1b1bfa</v>
    <v>en-AU</v>
    <v>Map</v>
  </rv>
  <rv s="0">
    <v>536870912</v>
    <v>Torbay</v>
    <v>20f58686-8f00-84da-c4d0-61544ec1c0b3</v>
    <v>en-AU</v>
    <v>Map</v>
  </rv>
  <rv s="0">
    <v>536870912</v>
    <v>City of Wakefield</v>
    <v>fda1d0a0-3c3d-b6d2-4e49-217176b79940</v>
    <v>en-AU</v>
    <v>Map</v>
  </rv>
  <rv s="0">
    <v>536870912</v>
    <v>London Borough of Bexley</v>
    <v>37fc0a51-9932-09b4-2e6d-28e52a5abc35</v>
    <v>en-AU</v>
    <v>Map</v>
  </rv>
  <rv s="0">
    <v>536870912</v>
    <v>Borough of Halton</v>
    <v>aba165c7-6f69-a541-bd58-9952c853e295</v>
    <v>en-AU</v>
    <v>Map</v>
  </rv>
  <rv s="0">
    <v>536870912</v>
    <v>North Somerset</v>
    <v>e3678f85-61b8-0810-8c53-e58bdb733dec</v>
    <v>en-AU</v>
    <v>Map</v>
  </rv>
  <rv s="0">
    <v>536870912</v>
    <v>Tameside</v>
    <v>4d704dba-d053-5372-9d1b-631f69f25246</v>
    <v>en-AU</v>
    <v>Map</v>
  </rv>
  <rv s="0">
    <v>536870912</v>
    <v>North Tyneside</v>
    <v>36ca8e86-236d-306d-dfc1-621780c43474</v>
    <v>en-AU</v>
    <v>Map</v>
  </rv>
  <rv s="0">
    <v>536870912</v>
    <v>London Borough of Sutton</v>
    <v>c1460554-820a-05a1-aac2-342042bac143</v>
    <v>en-AU</v>
    <v>Map</v>
  </rv>
  <rv s="0">
    <v>536870912</v>
    <v>Medway</v>
    <v>3ade3b17-52c4-4392-59ad-874fde4b7de5</v>
    <v>en-AU</v>
    <v>Map</v>
  </rv>
  <rv s="0">
    <v>536870912</v>
    <v>Bath and North East Somerset</v>
    <v>1ea8797d-5e0d-8b8d-d63e-c6cbbd49f9d2</v>
    <v>en-AU</v>
    <v>Map</v>
  </rv>
  <rv s="0">
    <v>536870912</v>
    <v>Metropolitan Borough of Stockport</v>
    <v>a0ddc244-2a33-2738-d6e7-20cabc5c8b14</v>
    <v>en-AU</v>
    <v>Map</v>
  </rv>
  <rv s="0">
    <v>536870912</v>
    <v>North East Lincolnshire</v>
    <v>87656709-108c-e3ba-f3f5-aac83525778e</v>
    <v>en-AU</v>
    <v>Map</v>
  </rv>
  <rv s="2">
    <v>52</v>
  </rv>
  <rv s="1">
    <fb>0.255052921600669</fb>
    <v>37</v>
  </rv>
  <rv s="2">
    <v>53</v>
  </rv>
  <rv s="1">
    <fb>0.30599999999999999</fb>
    <v>37</v>
  </rv>
  <rv s="1">
    <fb>3.8510000705719E-2</fb>
    <v>45</v>
  </rv>
  <rv s="1">
    <fb>55908316</fb>
    <v>11</v>
  </rv>
  <rv s="6">
    <v>#VALUE!</v>
    <v>en-AU</v>
    <v>b1a5155a-6bb2-4646-8f7c-3e6b3a53c831</v>
    <v>536870912</v>
    <v>1</v>
    <v>198</v>
    <v>34</v>
    <v>United Kingdom</v>
    <v>7</v>
    <v>35</v>
    <v>Map</v>
    <v>9</v>
    <v>199</v>
    <v>GB</v>
    <v>797</v>
    <v>798</v>
    <v>799</v>
    <v>800</v>
    <v>801</v>
    <v>784</v>
    <v>802</v>
    <v>803</v>
    <v>804</v>
    <v>GBP</v>
    <v>The United Kingdom of Great Britain and Northern Ireland, commonly known as the United Kingdom or Britain, is a sovereign country in Europe, off the north-western coast of the continental mainland. It comprises England, Wales, Scotland, and Northern Ireland. The United Kingdom includes the island of Great Britain, the north-eastern part of the island of Ireland, and many smaller islands within the British Isles. Northern Ireland shares a land border with the Republic of Ireland; otherwise, the United Kingdom is surrounded by the Atlantic Ocean, the North Sea, the English Channel, the Celtic Sea and the Irish Sea. The total area of the United Kingdom is 93,628 square miles, with an estimated 2020 population of more than 67 million people.</v>
    <v>805</v>
    <v>806</v>
    <v>807</v>
    <v>808</v>
    <v>809</v>
    <v>810</v>
    <v>811</v>
    <v>812</v>
    <v>813</v>
    <v>814</v>
    <v>784</v>
    <v>819</v>
    <v>820</v>
    <v>821</v>
    <v>822</v>
    <v>37</v>
    <v>823</v>
    <v>United Kingdom</v>
    <v>God Save the Queen</v>
    <v>824</v>
    <v>United Kingdom of Great Britain and Northern Ireland</v>
    <v>825</v>
    <v>826</v>
    <v>827</v>
    <v>828</v>
    <v>829</v>
    <v>729</v>
    <v>830</v>
    <v>831</v>
    <v>832</v>
    <v>833</v>
    <v>834</v>
    <v>981</v>
    <v>982</v>
    <v>983</v>
    <v>984</v>
    <v>985</v>
    <v>United Kingdom</v>
    <v>986</v>
    <v>mdp/vdpid/242</v>
  </rv>
  <rv s="0">
    <v>536870912</v>
    <v>Moscow</v>
    <v>6bb559e5-6af9-adf8-d8bc-7f999aba8a3a</v>
    <v>en-AU</v>
    <v>Map</v>
  </rv>
  <rv s="1">
    <fb>2510</fb>
    <v>11</v>
  </rv>
  <rv s="0">
    <v>536870912</v>
    <v>Russia</v>
    <v>ed4fce79-8ad4-352b-205b-e4db36c49bbe</v>
    <v>en-AU</v>
    <v>Map</v>
  </rv>
  <rv s="0">
    <v>805306368</v>
    <v>Sergey Sobyanin (Mayor)</v>
    <v>6b5f6242-dae9-73d7-5afb-baedbd37479a</v>
    <v>en-AU</v>
    <v>Generic</v>
  </rv>
  <rv s="2">
    <v>54</v>
  </rv>
  <rv s="3">
    <v>https://www.bing.com/search?q=moscow+russia&amp;form=skydnc</v>
    <v>Learn more on Bing</v>
  </rv>
  <rv s="1">
    <fb>11979529</fb>
    <v>11</v>
  </rv>
  <rv s="2">
    <v>55</v>
  </rv>
  <rv s="17">
    <v>#VALUE!</v>
    <v>en-AU</v>
    <v>6bb559e5-6af9-adf8-d8bc-7f999aba8a3a</v>
    <v>536870912</v>
    <v>1</v>
    <v>204</v>
    <v>205</v>
    <v>Moscow</v>
    <v>7</v>
    <v>8</v>
    <v>Map</v>
    <v>9</v>
    <v>206</v>
    <v>RU-MOW</v>
    <v>989</v>
    <v>990</v>
    <v>Moscow is the capital and largest city of Russia. The city stands on the Moskva River in Central Russia, with a population estimated at 12.4 million residents within the city limits, over 17 million residents in the urban area, and over 20 million residents in the metropolitan area. The city covers an area of 2,511 square kilometers, while the urban area covers 5,891 square kilometers, and the metropolitan area covers over 26,000 square kilometers. Moscow is among the world's largest cities; being the most populous city entirely in Europe, the largest urban and metropolitan area in Europe, and the largest city by land area on the European continent.</v>
    <v>992</v>
    <v>993</v>
    <v>Moscow</v>
    <v>994</v>
    <v>995</v>
    <v>Moscow</v>
    <v>mdp/vdpid/7053257137799036941</v>
  </rv>
  <rv s="1">
    <fb>0.13294470341402198</fb>
    <v>37</v>
  </rv>
  <rv s="1">
    <fb>17098240</fb>
    <v>11</v>
  </rv>
  <rv s="1">
    <fb>1454000</fb>
    <v>11</v>
  </rv>
  <rv s="1">
    <fb>11.5</fb>
    <v>38</v>
  </rv>
  <rv s="1">
    <fb>7</fb>
    <v>39</v>
  </rv>
  <rv s="1">
    <fb>1732026.7760000001</fb>
    <v>11</v>
  </rv>
  <rv s="1">
    <fb>180.74643865422601</fb>
    <v>40</v>
  </rv>
  <rv s="1">
    <fb>4.4703597689969995E-2</fb>
    <v>37</v>
  </rv>
  <rv s="1">
    <fb>6602.6575252928196</fb>
    <v>11</v>
  </rv>
  <rv s="1">
    <fb>1.57</fb>
    <v>38</v>
  </rv>
  <rv s="1">
    <fb>0.49758561923004796</fb>
    <v>37</v>
  </rv>
  <rv s="1">
    <fb>92.142875817828696</fb>
    <v>41</v>
  </rv>
  <rv s="1">
    <fb>0.59</fb>
    <v>42</v>
  </rv>
  <rv s="1">
    <fb>1699876578871.3501</fb>
    <v>43</v>
  </rv>
  <rv s="1">
    <fb>1.0258246</fb>
    <v>37</v>
  </rv>
  <rv s="1">
    <fb>0.81909310000000002</fb>
    <v>37</v>
  </rv>
  <rv s="5">
    <v>7</v>
    <v>9</v>
    <v>216</v>
    <v>6</v>
    <v>0</v>
    <v>Image of Russia</v>
  </rv>
  <rv s="1">
    <fb>6.1</fb>
    <v>41</v>
  </rv>
  <rv s="0">
    <v>805306368</v>
    <v>Vladimir Putin (President)</v>
    <v>60d41b9e-06ae-967b-bcc5-97ad4a13d29c</v>
    <v>en-AU</v>
    <v>Generic</v>
  </rv>
  <rv s="2">
    <v>56</v>
  </rv>
  <rv s="3">
    <v>https://www.bing.com/search?q=russia&amp;form=skydnc</v>
    <v>Learn more on Bing</v>
  </rv>
  <rv s="1">
    <fb>72.657317073170702</fb>
    <v>41</v>
  </rv>
  <rv s="1">
    <fb>576116340000</fb>
    <v>43</v>
  </rv>
  <rv s="1">
    <fb>17</fb>
    <v>41</v>
  </rv>
  <rv s="1">
    <fb>0.53</fb>
    <v>42</v>
  </rv>
  <rv s="2">
    <v>57</v>
  </rv>
  <rv s="1">
    <fb>0.36436404289999996</fb>
    <v>37</v>
  </rv>
  <rv s="1">
    <fb>4.0138999999999996</fb>
    <v>38</v>
  </rv>
  <rv s="1">
    <fb>144373535</fb>
    <v>11</v>
  </rv>
  <rv s="1">
    <fb>0.214</fb>
    <v>37</v>
  </rv>
  <rv s="1">
    <fb>0.29899999999999999</fb>
    <v>37</v>
  </rv>
  <rv s="1">
    <fb>0.45100000000000001</fb>
    <v>37</v>
  </rv>
  <rv s="1">
    <fb>0.11199999999999999</fb>
    <v>37</v>
  </rv>
  <rv s="1">
    <fb>0.152</fb>
    <v>37</v>
  </rv>
  <rv s="1">
    <fb>0.61800998687744102</fb>
    <v>37</v>
  </rv>
  <rv s="0">
    <v>536870912</v>
    <v>Saint Petersburg</v>
    <v>e3ed1086-8cd2-4813-dfa1-22d6666852c7</v>
    <v>en-AU</v>
    <v>Map</v>
  </rv>
  <rv s="0">
    <v>536870912</v>
    <v>Moscow Oblast</v>
    <v>dd63de90-3429-69f1-11c7-7129ec818a44</v>
    <v>en-AU</v>
    <v>Map</v>
  </rv>
  <rv s="0">
    <v>536870912</v>
    <v>Karelia</v>
    <v>b542b037-34d5-6ff0-91c9-63d232429e90</v>
    <v>en-AU</v>
    <v>Map</v>
  </rv>
  <rv s="0">
    <v>536870912</v>
    <v>Tatarstan</v>
    <v>7e36bead-7c24-03eb-3164-2a047e5b7eb1</v>
    <v>en-AU</v>
    <v>Map</v>
  </rv>
  <rv s="0">
    <v>536870912</v>
    <v>Bashkortostan</v>
    <v>fc6eab09-3383-820f-1442-4f6dde32cbf9</v>
    <v>en-AU</v>
    <v>Map</v>
  </rv>
  <rv s="0">
    <v>536870912</v>
    <v>Stavropol Krai</v>
    <v>cea31d3e-370c-d7b9-8aa9-739d9a55a85a</v>
    <v>en-AU</v>
    <v>Map</v>
  </rv>
  <rv s="0">
    <v>536870912</v>
    <v>Sakhalin Oblast</v>
    <v>a0ca8508-79a7-09d7-1e4f-84e80916d921</v>
    <v>en-AU</v>
    <v>Map</v>
  </rv>
  <rv s="0">
    <v>536870912</v>
    <v>Chechnya</v>
    <v>380a5b31-8fbf-1061-698e-34d4218fc514</v>
    <v>en-AU</v>
    <v>Map</v>
  </rv>
  <rv s="0">
    <v>536870912</v>
    <v>Novosibirsk Oblast</v>
    <v>e05e3666-c6d4-b98c-cf0b-3f8fbdcca509</v>
    <v>en-AU</v>
    <v>Map</v>
  </rv>
  <rv s="0">
    <v>536870912</v>
    <v>Primorsky Krai</v>
    <v>c162694d-0600-3d2a-14ab-bd32888d7c8d</v>
    <v>en-AU</v>
    <v>Map</v>
  </rv>
  <rv s="0">
    <v>536870912</v>
    <v>Kaliningrad Oblast</v>
    <v>7898a7d2-2c53-4ac9-fd66-da04a64ed92e</v>
    <v>en-AU</v>
    <v>Map</v>
  </rv>
  <rv s="0">
    <v>536870912</v>
    <v>Chuvashia</v>
    <v>52dde999-303c-705c-0053-8cd4a44ea3bc</v>
    <v>en-AU</v>
    <v>Map</v>
  </rv>
  <rv s="0">
    <v>536870912</v>
    <v>Tuva</v>
    <v>ab07bfe8-07ff-28f8-5b60-d4cd5e7f48f8</v>
    <v>en-AU</v>
    <v>Map</v>
  </rv>
  <rv s="0">
    <v>536870912</v>
    <v>Dagestan</v>
    <v>7be0631e-08a6-71a2-bd8f-1be3fab541d4</v>
    <v>en-AU</v>
    <v>Map</v>
  </rv>
  <rv s="0">
    <v>536870912</v>
    <v>Altai Republic</v>
    <v>bc671e26-2d75-8823-293a-5af58859f724</v>
    <v>en-AU</v>
    <v>Map</v>
  </rv>
  <rv s="0">
    <v>536870912</v>
    <v>Chukotka Autonomous Okrug</v>
    <v>32d0b1a4-54c8-f9af-b97c-f05f93680504</v>
    <v>en-AU</v>
    <v>Map</v>
  </rv>
  <rv s="0">
    <v>536870912</v>
    <v>Khanty-Mansi Autonomous Okrug</v>
    <v>c54c2f51-aac8-6ea4-fc82-3027ba8cc45b</v>
    <v>en-AU</v>
    <v>Map</v>
  </rv>
  <rv s="0">
    <v>536870912</v>
    <v>Khabarovsk Krai</v>
    <v>02068939-5788-e619-fddd-7743d37b74b3</v>
    <v>en-AU</v>
    <v>Map</v>
  </rv>
  <rv s="0">
    <v>536870912</v>
    <v>Kabardino-Balkaria</v>
    <v>3c3eefab-1013-5556-2903-4a792d0de818</v>
    <v>en-AU</v>
    <v>Map</v>
  </rv>
  <rv s="0">
    <v>536870912</v>
    <v>Sverdlovsk Oblast</v>
    <v>32643100-03ea-0c14-f58e-a7d70c8c1468</v>
    <v>en-AU</v>
    <v>Map</v>
  </rv>
  <rv s="0">
    <v>536870912</v>
    <v>Udmurtia</v>
    <v>9650b146-7f52-f62d-cc53-c0f71081c647</v>
    <v>en-AU</v>
    <v>Map</v>
  </rv>
  <rv s="0">
    <v>536870912</v>
    <v>Buryatia</v>
    <v>559aae54-84df-2df7-b208-d0e2975a541f</v>
    <v>en-AU</v>
    <v>Map</v>
  </rv>
  <rv s="0">
    <v>536870912</v>
    <v>Adygea</v>
    <v>22b5ba45-672e-34b8-e6f1-db4a112d6473</v>
    <v>en-AU</v>
    <v>Map</v>
  </rv>
  <rv s="0">
    <v>536870912</v>
    <v>Tomsk Oblast</v>
    <v>4833e982-a51c-b27a-99ba-c7aa39fdbfc5</v>
    <v>en-AU</v>
    <v>Map</v>
  </rv>
  <rv s="0">
    <v>536870912</v>
    <v>Kaluga Oblast</v>
    <v>97df7123-82c1-1ae8-dc29-631fa213b57f</v>
    <v>en-AU</v>
    <v>Map</v>
  </rv>
  <rv s="0">
    <v>536870912</v>
    <v>Kalmykia</v>
    <v>aa5d46bb-1a45-ccab-629e-32a57e11433b</v>
    <v>en-AU</v>
    <v>Map</v>
  </rv>
  <rv s="0">
    <v>536870912</v>
    <v>Khakassia</v>
    <v>f1e1928b-1461-ec9b-f1f0-d161dfb0ded0</v>
    <v>en-AU</v>
    <v>Map</v>
  </rv>
  <rv s="0">
    <v>536870912</v>
    <v>Komi Republic</v>
    <v>7ef61531-763c-4148-8cc5-3804e7ea0b0f</v>
    <v>en-AU</v>
    <v>Map</v>
  </rv>
  <rv s="0">
    <v>536870912</v>
    <v>Karachay-Cherkessia</v>
    <v>427be6f6-6a91-8144-0b4b-023b249fb86c</v>
    <v>en-AU</v>
    <v>Map</v>
  </rv>
  <rv s="0">
    <v>536870912</v>
    <v>Jewish Autonomous Oblast</v>
    <v>f238d267-34ac-88dc-5e18-ecd8a1d9f1bd</v>
    <v>en-AU</v>
    <v>Map</v>
  </rv>
  <rv s="0">
    <v>536870912</v>
    <v>Rostov Oblast</v>
    <v>05c23ef3-37da-92dc-0d82-db4e339caaa8</v>
    <v>en-AU</v>
    <v>Map</v>
  </rv>
  <rv s="0">
    <v>536870912</v>
    <v>Astrakhan Oblast</v>
    <v>06c7a94b-2d3b-41f7-ad05-8d46bb820ade</v>
    <v>en-AU</v>
    <v>Map</v>
  </rv>
  <rv s="0">
    <v>536870912</v>
    <v>Orenburg Oblast</v>
    <v>e416ef3d-74dd-73c7-82c5-e10e02791bfb</v>
    <v>en-AU</v>
    <v>Map</v>
  </rv>
  <rv s="0">
    <v>536870912</v>
    <v>Bryansk Oblast</v>
    <v>0ea1957d-9d7f-b8a7-f59b-31b5d6b1bd4a</v>
    <v>en-AU</v>
    <v>Map</v>
  </rv>
  <rv s="0">
    <v>536870912</v>
    <v>Samara Oblast</v>
    <v>13d9bea7-a7c1-1b2c-7fb1-e678ddcd7a71</v>
    <v>en-AU</v>
    <v>Map</v>
  </rv>
  <rv s="0">
    <v>536870912</v>
    <v>Oryol Oblast</v>
    <v>30918ef9-6129-11eb-d922-92a0eda65b46</v>
    <v>en-AU</v>
    <v>Map</v>
  </rv>
  <rv s="0">
    <v>536870912</v>
    <v>Smolensk Oblast</v>
    <v>d2bbaf83-1065-8b46-d8df-55a0e9dd6b3a</v>
    <v>en-AU</v>
    <v>Map</v>
  </rv>
  <rv s="0">
    <v>536870912</v>
    <v>Ryazan Oblast</v>
    <v>6c69b62c-3503-7ba4-5d89-faeb0fc23ab3</v>
    <v>en-AU</v>
    <v>Map</v>
  </rv>
  <rv s="0">
    <v>536870912</v>
    <v>Nizhny Novgorod Oblast</v>
    <v>691cbf3e-b13a-27a2-730d-d3a89a54588c</v>
    <v>en-AU</v>
    <v>Map</v>
  </rv>
  <rv s="0">
    <v>536870912</v>
    <v>Mari El</v>
    <v>b89c03bf-1661-bc0b-45ea-52497ba4afaf</v>
    <v>en-AU</v>
    <v>Map</v>
  </rv>
  <rv s="0">
    <v>536870912</v>
    <v>Krasnoyarsk Krai</v>
    <v>1266f13e-65bc-fc05-ccd0-3c7a17af0597</v>
    <v>en-AU</v>
    <v>Map</v>
  </rv>
  <rv s="0">
    <v>536870912</v>
    <v>Tyumen Oblast</v>
    <v>f7074e1e-5809-6c44-a836-391d78cc63b0</v>
    <v>en-AU</v>
    <v>Map</v>
  </rv>
  <rv s="0">
    <v>536870912</v>
    <v>Yaroslavl Oblast</v>
    <v>78a787d0-5bd7-369e-abec-20334f55f284</v>
    <v>en-AU</v>
    <v>Map</v>
  </rv>
  <rv s="0">
    <v>536870912</v>
    <v>Pskov Oblast</v>
    <v>c4c338de-2857-ea26-c274-85903024dee2</v>
    <v>en-AU</v>
    <v>Map</v>
  </rv>
  <rv s="0">
    <v>536870912</v>
    <v>Tula Oblast</v>
    <v>06958213-9024-c72f-be1d-870a43124549</v>
    <v>en-AU</v>
    <v>Map</v>
  </rv>
  <rv s="0">
    <v>536870912</v>
    <v>Chelyabinsk Oblast</v>
    <v>e8506c94-c78a-be96-22a5-f42d90ce4d85</v>
    <v>en-AU</v>
    <v>Map</v>
  </rv>
  <rv s="0">
    <v>536870912</v>
    <v>Kursk Oblast</v>
    <v>567e1124-acb2-49af-175b-c71b4a0ba198</v>
    <v>en-AU</v>
    <v>Map</v>
  </rv>
  <rv s="0">
    <v>536870912</v>
    <v>Murmansk Oblast</v>
    <v>07a783e3-274d-ec11-cee4-83081096a87f</v>
    <v>en-AU</v>
    <v>Map</v>
  </rv>
  <rv s="0">
    <v>536870912</v>
    <v>Mordovia</v>
    <v>f239c732-02c7-4a65-ceef-e3e0f395c4ad</v>
    <v>en-AU</v>
    <v>Map</v>
  </rv>
  <rv s="0">
    <v>536870912</v>
    <v>Perm Krai</v>
    <v>e3254562-12b4-8af6-5efc-c33e6b4cc2fd</v>
    <v>en-AU</v>
    <v>Map</v>
  </rv>
  <rv s="0">
    <v>536870912</v>
    <v>Tver Oblast</v>
    <v>43dbfe25-b444-4ee4-6a06-4a0c84faf831</v>
    <v>en-AU</v>
    <v>Map</v>
  </rv>
  <rv s="0">
    <v>536870912</v>
    <v>Voronezh Oblast</v>
    <v>9b7449fa-9d99-9753-8580-fc09a3e938a1</v>
    <v>en-AU</v>
    <v>Map</v>
  </rv>
  <rv s="0">
    <v>536870912</v>
    <v>Yamalo-Nenets Autonomous Okrug</v>
    <v>9ad3fb88-2ff4-83f3-32a9-b85ad7f10c6c</v>
    <v>en-AU</v>
    <v>Map</v>
  </rv>
  <rv s="0">
    <v>536870912</v>
    <v>Ulyanovsk Oblast</v>
    <v>285ad0e8-dfc5-6c4f-f919-783c565347c2</v>
    <v>en-AU</v>
    <v>Map</v>
  </rv>
  <rv s="0">
    <v>536870912</v>
    <v>Magadan Oblast</v>
    <v>41a617f0-e934-53ad-bb6c-2cac390b18ba</v>
    <v>en-AU</v>
    <v>Map</v>
  </rv>
  <rv s="0">
    <v>536870912</v>
    <v>Volgograd Oblast</v>
    <v>8b9d97f0-f2de-ac3e-5891-976a9a8b1e60</v>
    <v>en-AU</v>
    <v>Map</v>
  </rv>
  <rv s="0">
    <v>536870912</v>
    <v>Zabaykalsky Krai</v>
    <v>4eec5a15-6252-a5ba-a675-32f7c3941986</v>
    <v>en-AU</v>
    <v>Map</v>
  </rv>
  <rv s="0">
    <v>536870912</v>
    <v>Lipetsk Oblast</v>
    <v>f35c04f7-4cb7-0802-ca04-755f7af52074</v>
    <v>en-AU</v>
    <v>Map</v>
  </rv>
  <rv s="0">
    <v>536870912</v>
    <v>Vladimir Oblast</v>
    <v>2d317c56-15fe-4a06-56e0-02319a666d05</v>
    <v>en-AU</v>
    <v>Map</v>
  </rv>
  <rv s="0">
    <v>536870912</v>
    <v>Altai Krai</v>
    <v>5e9c8636-bfc7-6ace-eac3-4751db61d1cd</v>
    <v>en-AU</v>
    <v>Map</v>
  </rv>
  <rv s="0">
    <v>536870912</v>
    <v>Ivanovo Oblast</v>
    <v>fdcd3a68-b12f-1397-beb5-b43095d4606b</v>
    <v>en-AU</v>
    <v>Map</v>
  </rv>
  <rv s="0">
    <v>536870912</v>
    <v>Arkhangelsk Oblast</v>
    <v>a26f0229-f4b7-1b73-1448-9522bf6b8a00</v>
    <v>en-AU</v>
    <v>Map</v>
  </rv>
  <rv s="0">
    <v>536870912</v>
    <v>Tambov Oblast</v>
    <v>c8c484f3-ed59-31b5-c134-bc324e7837a7</v>
    <v>en-AU</v>
    <v>Map</v>
  </rv>
  <rv s="0">
    <v>536870912</v>
    <v>Vologda Oblast</v>
    <v>e52cd8ce-a2fe-316d-8b57-f4e3b77333a5</v>
    <v>en-AU</v>
    <v>Map</v>
  </rv>
  <rv s="0">
    <v>536870912</v>
    <v>Kurgan Oblast</v>
    <v>903834e8-fe8c-1307-487f-0fb6d8993461</v>
    <v>en-AU</v>
    <v>Map</v>
  </rv>
  <rv s="0">
    <v>536870912</v>
    <v>Krasnodar Krai</v>
    <v>9a429c3b-d4ba-835f-1b73-b43e11683d61</v>
    <v>en-AU</v>
    <v>Map</v>
  </rv>
  <rv s="0">
    <v>536870912</v>
    <v>Omsk Oblast</v>
    <v>ca626861-e115-9a15-2bb4-9047d7b785cd</v>
    <v>en-AU</v>
    <v>Map</v>
  </rv>
  <rv s="0">
    <v>536870912</v>
    <v>Belgorod Oblast</v>
    <v>c8940f0f-9335-1cda-1a75-5dd0ab1960ff</v>
    <v>en-AU</v>
    <v>Map</v>
  </rv>
  <rv s="0">
    <v>536870912</v>
    <v>Saratov Oblast</v>
    <v>a391453d-4362-449f-bbe1-00b8176ec2f8</v>
    <v>en-AU</v>
    <v>Map</v>
  </rv>
  <rv s="0">
    <v>536870912</v>
    <v>Penza Oblast</v>
    <v>6037735b-86a2-89e3-37b1-b7b82ed427b8</v>
    <v>en-AU</v>
    <v>Map</v>
  </rv>
  <rv s="0">
    <v>536870912</v>
    <v>Leningrad Oblast</v>
    <v>5c4a620f-878c-b7a4-a401-7f5115731d25</v>
    <v>en-AU</v>
    <v>Map</v>
  </rv>
  <rv s="0">
    <v>536870912</v>
    <v>Ingushetia</v>
    <v>d71ef53a-a58c-2149-fc5b-7f305c67d703</v>
    <v>en-AU</v>
    <v>Map</v>
  </rv>
  <rv s="0">
    <v>536870912</v>
    <v>Amur Oblast</v>
    <v>706fd605-8507-bdd1-46b4-ee14136bf6f2</v>
    <v>en-AU</v>
    <v>Map</v>
  </rv>
  <rv s="0">
    <v>536870912</v>
    <v>Kemerovo Oblast</v>
    <v>1e6a003a-be48-9fa5-55bd-e117a8409e45</v>
    <v>en-AU</v>
    <v>Map</v>
  </rv>
  <rv s="0">
    <v>536870912</v>
    <v>Irkutsk Oblast</v>
    <v>d1d27863-f692-cd79-ec4a-a224cb9b6b50</v>
    <v>en-AU</v>
    <v>Map</v>
  </rv>
  <rv s="0">
    <v>536870912</v>
    <v>Nenets Autonomous Okrug</v>
    <v>0bfd44fb-94fd-9862-0994-343325ef0e56</v>
    <v>en-AU</v>
    <v>Map</v>
  </rv>
  <rv s="0">
    <v>536870912</v>
    <v>Kamchatka Krai</v>
    <v>aa601ace-14aa-0457-d7e0-cc6046c92351</v>
    <v>en-AU</v>
    <v>Map</v>
  </rv>
  <rv s="0">
    <v>536870912</v>
    <v>Kostroma Oblast</v>
    <v>48255075-9db6-a984-2d1d-fcf0441e427b</v>
    <v>en-AU</v>
    <v>Map</v>
  </rv>
  <rv s="0">
    <v>536870912</v>
    <v>Novgorod Oblast</v>
    <v>5c6f11f1-917e-4dd9-5f0f-bca854810e3e</v>
    <v>en-AU</v>
    <v>Map</v>
  </rv>
  <rv s="0">
    <v>536870912</v>
    <v>Kirov Oblast</v>
    <v>d59795b1-20b4-27f8-b756-5227d25439ae</v>
    <v>en-AU</v>
    <v>Map</v>
  </rv>
  <rv s="2">
    <v>58</v>
  </rv>
  <rv s="1">
    <fb>0.11384595754929799</fb>
    <v>37</v>
  </rv>
  <rv s="2">
    <v>59</v>
  </rv>
  <rv s="1">
    <fb>4.5850000381469698E-2</fb>
    <v>45</v>
  </rv>
  <rv s="1">
    <fb>107683889</fb>
    <v>11</v>
  </rv>
  <rv s="6">
    <v>#VALUE!</v>
    <v>en-AU</v>
    <v>ed4fce79-8ad4-352b-205b-e4db36c49bbe</v>
    <v>536870912</v>
    <v>1</v>
    <v>214</v>
    <v>34</v>
    <v>Russia</v>
    <v>7</v>
    <v>35</v>
    <v>Map</v>
    <v>9</v>
    <v>215</v>
    <v>RU</v>
    <v>997</v>
    <v>998</v>
    <v>999</v>
    <v>1000</v>
    <v>1001</v>
    <v>988</v>
    <v>1002</v>
    <v>1003</v>
    <v>1004</v>
    <v>RUB</v>
    <v>Russia, or the Russian Federation, is a transcontinental country spanning Eastern Europe and Northern Asia. It is the largest country in the world by area, covering over 17,125,191 square kilometres, and encompassing one-eighth of Earth's inhabitable landmass. Russia extends across eleven time zones and borders sixteen sovereign nations, the most of any country in the world. It is the ninth-most populous country and the most populous country in Europe, with a population of 145.5 million. The country's capital and largest city is Moscow, the largest city entirely within Europe. Saint Petersburg is Russia's cultural centre and second-largest city. Other major urban areas include Novosibirsk, Yekaterinburg, Nizhny Novgorod and Kazan.</v>
    <v>1005</v>
    <v>1006</v>
    <v>1007</v>
    <v>1008</v>
    <v>1009</v>
    <v>1010</v>
    <v>1011</v>
    <v>1012</v>
    <v>1013</v>
    <v>1014</v>
    <v>988</v>
    <v>1016</v>
    <v>1017</v>
    <v>1018</v>
    <v>1019</v>
    <v>1020</v>
    <v>1021</v>
    <v>Russia</v>
    <v>National Anthem of Russia</v>
    <v>1022</v>
    <v>Russian Federation</v>
    <v>1023</v>
    <v>1024</v>
    <v>1025</v>
    <v>1026</v>
    <v>1027</v>
    <v>1028</v>
    <v>46</v>
    <v>831</v>
    <v>1029</v>
    <v>1030</v>
    <v>1031</v>
    <v>1112</v>
    <v>1113</v>
    <v>1114</v>
    <v>126</v>
    <v>1115</v>
    <v>Russia</v>
    <v>1116</v>
    <v>mdp/vdpid/203</v>
  </rv>
  <rv s="0">
    <v>536870912</v>
    <v>Busan</v>
    <v>ab78ce75-913b-16f3-a3d1-72a46c7e4c42</v>
    <v>en-AU</v>
    <v>Map</v>
  </rv>
  <rv s="1">
    <fb>767.35</fb>
    <v>11</v>
  </rv>
  <rv s="0">
    <v>536870912</v>
    <v>South Korea</v>
    <v>c0e15be0-5113-402c-c03f-516a6265e9cb</v>
    <v>en-AU</v>
    <v>Map</v>
  </rv>
  <rv s="1">
    <fb>1357230</fb>
    <v>11</v>
  </rv>
  <rv s="1">
    <fb>1174034</fb>
    <v>11</v>
  </rv>
  <rv s="2">
    <v>60</v>
  </rv>
  <rv s="3">
    <v>https://www.bing.com/search?q=busan&amp;form=skydnc</v>
    <v>Learn more on Bing</v>
  </rv>
  <rv s="1">
    <fb>3411829</fb>
    <v>11</v>
  </rv>
  <rv s="2">
    <v>61</v>
  </rv>
  <rv s="18">
    <v>#VALUE!</v>
    <v>en-AU</v>
    <v>ab78ce75-913b-16f3-a3d1-72a46c7e4c42</v>
    <v>536870912</v>
    <v>1</v>
    <v>221</v>
    <v>222</v>
    <v>Busan</v>
    <v>7</v>
    <v>8</v>
    <v>Map</v>
    <v>9</v>
    <v>223</v>
    <v>KR-26</v>
    <v>1119</v>
    <v>1120</v>
    <v>Busan, officially known as Busan Metropolitan City, is South Korea's second-most populous city after Seoul, with a population of over 3.4 million inhabitants. Formerly romanized as Pusan, it is the economic, cultural and educational center of southeastern South Korea, with its port being Korea's busiest and the sixth-busiest in the world. The surrounding "Southeast Economic Zone" is South Korea's largest industrial area.</v>
    <v>1121</v>
    <v>1122</v>
    <v>1123</v>
    <v>1124</v>
    <v>Busan</v>
    <v>1125</v>
    <v>1126</v>
    <v>Busan</v>
    <v>mdp/vdpid/7833726938991558657</v>
  </rv>
  <rv s="1">
    <fb>0.17446070640579101</fb>
    <v>37</v>
  </rv>
  <rv s="1">
    <fb>99720</fb>
    <v>11</v>
  </rv>
  <rv s="1">
    <fb>634000</fb>
    <v>11</v>
  </rv>
  <rv s="1">
    <fb>6.4</fb>
    <v>38</v>
  </rv>
  <rv s="1">
    <fb>82</fb>
    <v>39</v>
  </rv>
  <rv s="0">
    <v>536870912</v>
    <v>Seoul</v>
    <v>669b47ba-40b4-0147-3657-a7dd0861132c</v>
    <v>en-AU</v>
    <v>Map</v>
  </rv>
  <rv s="1">
    <fb>620302.38600000006</fb>
    <v>11</v>
  </rv>
  <rv s="1">
    <fb>115.15858742558</fb>
    <v>40</v>
  </rv>
  <rv s="1">
    <fb>3.8294613224406E-3</fb>
    <v>37</v>
  </rv>
  <rv s="1">
    <fb>10496.5136719641</fb>
    <v>11</v>
  </rv>
  <rv s="1">
    <fb>0.97699999999999998</fb>
    <v>38</v>
  </rv>
  <rv s="1">
    <fb>0.63354836492977906</fb>
    <v>37</v>
  </rv>
  <rv s="1">
    <fb>81.028475807144503</fb>
    <v>41</v>
  </rv>
  <rv s="1">
    <fb>1.22</fb>
    <v>42</v>
  </rv>
  <rv s="1">
    <fb>2029000000000</fb>
    <v>43</v>
  </rv>
  <rv s="1">
    <fb>0.98088600000000004</fb>
    <v>37</v>
  </rv>
  <rv s="1">
    <fb>0.94349689999999997</fb>
    <v>37</v>
  </rv>
  <rv s="5">
    <v>8</v>
    <v>9</v>
    <v>234</v>
    <v>6</v>
    <v>0</v>
    <v>Image of South Korea</v>
  </rv>
  <rv s="1">
    <fb>2.7</fb>
    <v>41</v>
  </rv>
  <rv s="0">
    <v>805306368</v>
    <v>Moon Jae-in (President)</v>
    <v>ad41bf8b-1e71-47bd-b062-c5bd6da7cd9c</v>
    <v>en-AU</v>
    <v>Generic</v>
  </rv>
  <rv s="2">
    <v>62</v>
  </rv>
  <rv s="3">
    <v>https://www.bing.com/search?q=south+korea&amp;form=skydnc</v>
    <v>Learn more on Bing</v>
  </rv>
  <rv s="1">
    <fb>82.626829268292695</fb>
    <v>41</v>
  </rv>
  <rv s="1">
    <fb>1413716510000</fb>
    <v>43</v>
  </rv>
  <rv s="1">
    <fb>6.49</fb>
    <v>42</v>
  </rv>
  <rv s="2">
    <v>63</v>
  </rv>
  <rv s="1">
    <fb>0.36792971710000005</fb>
    <v>37</v>
  </rv>
  <rv s="1">
    <fb>2.3607999999999998</fb>
    <v>38</v>
  </rv>
  <rv s="1">
    <fb>51709098</fb>
    <v>11</v>
  </rv>
  <rv s="1">
    <fb>0.23199999999999998</fb>
    <v>37</v>
  </rv>
  <rv s="1">
    <fb>0.23800000000000002</fb>
    <v>37</v>
  </rv>
  <rv s="1">
    <fb>0.39</fb>
    <v>37</v>
  </rv>
  <rv s="1">
    <fb>2.6000000000000002E-2</fb>
    <v>37</v>
  </rv>
  <rv s="1">
    <fb>0.13</fb>
    <v>37</v>
  </rv>
  <rv s="1">
    <fb>0.17499999999999999</fb>
    <v>37</v>
  </rv>
  <rv s="1">
    <fb>0.62970001220703098</fb>
    <v>37</v>
  </rv>
  <rv s="0">
    <v>536870912</v>
    <v>Gangwon</v>
    <v>969f749a-ed96-7379-b76c-a7fc63af8e94</v>
    <v>en-AU</v>
    <v>Map</v>
  </rv>
  <rv s="0">
    <v>536870912</v>
    <v>Gwangju</v>
    <v>1ceff0b5-a865-dd51-d697-9fee8740447e</v>
    <v>en-AU</v>
    <v>Map</v>
  </rv>
  <rv s="0">
    <v>536870912</v>
    <v>Daegu</v>
    <v>ed9efeb7-692d-e93b-eeff-c93b6f906f73</v>
    <v>en-AU</v>
    <v>Map</v>
  </rv>
  <rv s="0">
    <v>536870912</v>
    <v>Incheon</v>
    <v>251c93a5-c29d-4e48-dd3f-1d5ac7861fa3</v>
    <v>en-AU</v>
    <v>Map</v>
  </rv>
  <rv s="0">
    <v>536870912</v>
    <v>Ulsan</v>
    <v>91c0546f-5834-7fd6-735f-542bc70be1cf</v>
    <v>en-AU</v>
    <v>Map</v>
  </rv>
  <rv s="0">
    <v>536870912</v>
    <v>Daejeon</v>
    <v>6f5216bc-1581-3eaa-8a74-f4122af47cdd</v>
    <v>en-AU</v>
    <v>Map</v>
  </rv>
  <rv s="0">
    <v>536870912</v>
    <v>South Gyeongsang Province</v>
    <v>86e32791-8efc-1d3b-3a8f-1b9d6fd990a1</v>
    <v>en-AU</v>
    <v>Map</v>
  </rv>
  <rv s="0">
    <v>536870912</v>
    <v>Jeju Province</v>
    <v>30be7545-0861-845d-8d83-ec99d53fc5d9</v>
    <v>en-AU</v>
    <v>Map</v>
  </rv>
  <rv s="0">
    <v>536870912</v>
    <v>Gyeonggi Province</v>
    <v>6b578621-8b2d-13ef-1af0-281a90a0fd92</v>
    <v>en-AU</v>
    <v>Map</v>
  </rv>
  <rv s="0">
    <v>536870912</v>
    <v>North Chungcheong Province</v>
    <v>ea7cdefc-04fe-45be-8ac1-07b9a4d6dc32</v>
    <v>en-AU</v>
    <v>Map</v>
  </rv>
  <rv s="0">
    <v>536870912</v>
    <v>South Chungcheong Province</v>
    <v>302fa333-ce2a-affc-c170-5f8d18500d9b</v>
    <v>en-AU</v>
    <v>Map</v>
  </rv>
  <rv s="0">
    <v>536870912</v>
    <v>North Gyeongsang Province</v>
    <v>44899bdf-131d-a103-5b55-bb862b8d3bf3</v>
    <v>en-AU</v>
    <v>Map</v>
  </rv>
  <rv s="0">
    <v>536870912</v>
    <v>South Jeolla Province</v>
    <v>9a4dcd3b-649f-605b-aee3-3f6dcf5c3680</v>
    <v>en-AU</v>
    <v>Map</v>
  </rv>
  <rv s="0">
    <v>536870912</v>
    <v>North Jeolla Province</v>
    <v>d8cda014-25af-90ec-91e8-3b7ffccc6380</v>
    <v>en-AU</v>
    <v>Map</v>
  </rv>
  <rv s="0">
    <v>536870912</v>
    <v>Sejong City</v>
    <v>4b3538fb-9c24-d852-b122-f107916a0663</v>
    <v>en-AU</v>
    <v>Map</v>
  </rv>
  <rv s="2">
    <v>64</v>
  </rv>
  <rv s="1">
    <fb>0.15574911728035101</fb>
    <v>37</v>
  </rv>
  <rv s="1">
    <fb>0.33200000000000002</fb>
    <v>37</v>
  </rv>
  <rv s="1">
    <fb>4.1479997634887703E-2</fb>
    <v>45</v>
  </rv>
  <rv s="1">
    <fb>42106719</fb>
    <v>11</v>
  </rv>
  <rv s="6">
    <v>#VALUE!</v>
    <v>en-AU</v>
    <v>c0e15be0-5113-402c-c03f-516a6265e9cb</v>
    <v>536870912</v>
    <v>1</v>
    <v>232</v>
    <v>34</v>
    <v>South Korea</v>
    <v>7</v>
    <v>35</v>
    <v>Map</v>
    <v>9</v>
    <v>233</v>
    <v>KR</v>
    <v>1128</v>
    <v>1129</v>
    <v>1130</v>
    <v>1131</v>
    <v>1132</v>
    <v>1133</v>
    <v>1134</v>
    <v>1135</v>
    <v>1136</v>
    <v>KRW</v>
    <v>South Korea, officially the Republic of Korea, is a country in East Asia, constituting the southern part of the Korean Peninsula and sharing a land border with North Korea. Its western border is formed by the Yellow Sea, while its eastern border is defined by the Sea of Japan. South Korea claims to be the sole legitimate government of the entire peninsula and adjacent islands. It has a population of 51.75 million, of which roughly half live in the Seoul Capital Area, the fifth largest metropolis in the world. Other major cities include Incheon, Busan, and Daegu.</v>
    <v>1137</v>
    <v>1138</v>
    <v>1139</v>
    <v>1140</v>
    <v>1141</v>
    <v>1142</v>
    <v>1143</v>
    <v>1144</v>
    <v>1145</v>
    <v>1146</v>
    <v>1133</v>
    <v>1148</v>
    <v>1149</v>
    <v>1150</v>
    <v>1151</v>
    <v>370</v>
    <v>1152</v>
    <v>South Korea</v>
    <v>Aegukga</v>
    <v>1153</v>
    <v>Republic of Korea</v>
    <v>1154</v>
    <v>1155</v>
    <v>1156</v>
    <v>1157</v>
    <v>1158</v>
    <v>1159</v>
    <v>1160</v>
    <v>584</v>
    <v>1161</v>
    <v>1162</v>
    <v>1163</v>
    <v>1179</v>
    <v>1180</v>
    <v>1126</v>
    <v>1181</v>
    <v>1182</v>
    <v>South Korea</v>
    <v>1183</v>
    <v>mdp/vdpid/134</v>
  </rv>
  <rv s="0">
    <v>536870912</v>
    <v>Los Angeles</v>
    <v>9958ca5c-ea31-4e71-8a17-bd1e7839c723</v>
    <v>en-AU</v>
    <v>Map</v>
  </rv>
  <rv s="0">
    <v>536870912</v>
    <v>Los Angeles County</v>
    <v>a22eb5ba-111e-51ea-f880-81d4f242d057</v>
    <v>en-AU</v>
    <v>Map</v>
  </rv>
  <rv s="1">
    <fb>1301.97</fb>
    <v>11</v>
  </rv>
  <rv s="1">
    <fb>34.052238000000003</fb>
    <v>12</v>
  </rv>
  <rv s="0">
    <v>805306368</v>
    <v>Eric Garcetti (Mayor)</v>
    <v>0149e8a9-6105-75ac-feec-32e4a7586c8d</v>
    <v>en-AU</v>
    <v>Generic</v>
  </rv>
  <rv s="2">
    <v>65</v>
  </rv>
  <rv s="3">
    <v>https://www.bing.com/search?q=los+angeles&amp;form=skydnc</v>
    <v>Learn more on Bing</v>
  </rv>
  <rv s="1">
    <fb>-118.24334399999999</fb>
    <v>12</v>
  </rv>
  <rv s="1">
    <fb>3898747</fb>
    <v>11</v>
  </rv>
  <rv s="2">
    <v>66</v>
  </rv>
  <rv s="7">
    <v>#VALUE!</v>
    <v>en-AU</v>
    <v>9958ca5c-ea31-4e71-8a17-bd1e7839c723</v>
    <v>536870912</v>
    <v>1</v>
    <v>239</v>
    <v>51</v>
    <v>Los Angeles</v>
    <v>7</v>
    <v>8</v>
    <v>Map</v>
    <v>9</v>
    <v>10</v>
    <v>477</v>
    <v>1186</v>
    <v>1187</v>
    <v>430</v>
    <v>Los Angeles, often referred to by its initials L.A., is a major city in the U.S. state of California. With a 2020 population of 3,898,747, it is the largest city in the state, as well as the second-largest city in the United States following New York City. Los Angeles is known for its Mediterranean climate, ethnic and cultural diversity, Hollywood film industry, and sprawling metropolitan area.</v>
    <v>1188</v>
    <v>1190</v>
    <v>1191</v>
    <v>1192</v>
    <v>Los Angeles</v>
    <v>1193</v>
    <v>1194</v>
    <v>Los Angeles</v>
    <v>mdp/vdpid/5059788015119892481</v>
  </rv>
  <rv s="0">
    <v>536870912</v>
    <v>Seattle</v>
    <v>5fbba6b8-85e1-4d41-9444-d9055436e473</v>
    <v>en-AU</v>
    <v>Map</v>
  </rv>
  <rv s="0">
    <v>536870912</v>
    <v>King County</v>
    <v>54389684-d1e7-09ad-33b0-d0587d219a6e</v>
    <v>en-AU</v>
    <v>Map</v>
  </rv>
  <rv s="1">
    <fb>369.2</fb>
    <v>11</v>
  </rv>
  <rv s="5">
    <v>9</v>
    <v>9</v>
    <v>248</v>
    <v>6</v>
    <v>0</v>
    <v>Image of Seattle</v>
  </rv>
  <rv s="1">
    <fb>47.603228999999999</fb>
    <v>12</v>
  </rv>
  <rv s="0">
    <v>805306368</v>
    <v>Bruce Harrell (Mayor)</v>
    <v>a3002d35-4b06-4b03-40c7-10b98d6e23f2</v>
    <v>en-AU</v>
    <v>Generic</v>
  </rv>
  <rv s="2">
    <v>67</v>
  </rv>
  <rv s="3">
    <v>https://www.bing.com/search?q=seattle&amp;form=skydnc</v>
    <v>Learn more on Bing</v>
  </rv>
  <rv s="1">
    <fb>-122.33028</fb>
    <v>12</v>
  </rv>
  <rv s="1">
    <fb>737015</fb>
    <v>11</v>
  </rv>
  <rv s="19">
    <v>#VALUE!</v>
    <v>en-AU</v>
    <v>5fbba6b8-85e1-4d41-9444-d9055436e473</v>
    <v>536870912</v>
    <v>1</v>
    <v>246</v>
    <v>247</v>
    <v>Seattle</v>
    <v>7</v>
    <v>35</v>
    <v>Map</v>
    <v>9</v>
    <v>10</v>
    <v>478</v>
    <v>1197</v>
    <v>1198</v>
    <v>430</v>
    <v>Seattle is a seaport city on the West Coast of the United States. It is the seat of King County, Washington. With a 2020 population of 737,015, it is the largest city in both the state of Washington and the Pacific Northwest region of North America. The Seattle metropolitan area's population is 4.02 million, making it the 15th-largest in the United States. Its growth rate of 21.1% between 2010 and 2020 makes it one of the nation's fastest-growing large cities.</v>
    <v>1199</v>
    <v>1200</v>
    <v>1202</v>
    <v>1203</v>
    <v>1204</v>
    <v>Seattle</v>
    <v>1205</v>
    <v>1194</v>
    <v>Seattle</v>
    <v>mdp/vdpid/4860655131336638465</v>
  </rv>
  <rv s="0">
    <v>536870912</v>
    <v>Montreal</v>
    <v>bf31f6ec-acd1-2e01-932b-c5c78c45d051</v>
    <v>en-AU</v>
    <v>Map</v>
  </rv>
  <rv s="0">
    <v>536870912</v>
    <v>Quebec</v>
    <v>32da1fe8-6bb5-f40e-e008-82becf7ef390</v>
    <v>en-AU</v>
    <v>Map</v>
  </rv>
  <rv s="1">
    <fb>365.13652379500002</fb>
    <v>11</v>
  </rv>
  <rv s="0">
    <v>536870912</v>
    <v>Canada</v>
    <v>370ed614-32e1-4326-a356-dc0a7dd56aaa</v>
    <v>en-AU</v>
    <v>Map</v>
  </rv>
  <rv s="1">
    <fb>45.509062</fb>
    <v>12</v>
  </rv>
  <rv s="0">
    <v>805306368</v>
    <v>Valérie Plante (Mayor)</v>
    <v>e63721dc-a633-6bba-7c34-e8c1efaae3fc</v>
    <v>en-AU</v>
    <v>Generic</v>
  </rv>
  <rv s="2">
    <v>68</v>
  </rv>
  <rv s="3">
    <v>https://www.bing.com/search?q=montreal+canada&amp;form=skydnc</v>
    <v>Learn more on Bing</v>
  </rv>
  <rv s="1">
    <fb>-73.553363000000004</fb>
    <v>12</v>
  </rv>
  <rv s="1">
    <fb>1762949</fb>
    <v>11</v>
  </rv>
  <rv s="10">
    <v>#VALUE!</v>
    <v>en-AU</v>
    <v>bf31f6ec-acd1-2e01-932b-c5c78c45d051</v>
    <v>536870912</v>
    <v>1</v>
    <v>253</v>
    <v>85</v>
    <v>Montreal</v>
    <v>7</v>
    <v>8</v>
    <v>Map</v>
    <v>9</v>
    <v>190</v>
    <v>1208</v>
    <v>1209</v>
    <v>1210</v>
    <v>Montreal is the second-most populous city in Canada and most populous city in the Canadian province of Quebec. Founded in 1642 as Ville-Marie, or "City of Mary", it is named after Mount Royal, the triple-peaked hill around which the early city of Ville-Marie is built. The city is centred on the Island of Montreal, which obtained its name from the same origin as the city, and a few much smaller peripheral islands, the largest of which is Île Bizard. The city is situated 196 km east of the national capital Ottawa, and 258 km southwest of the provincial capital, Quebec City.</v>
    <v>1211</v>
    <v>1213</v>
    <v>1214</v>
    <v>1215</v>
    <v>Montreal</v>
    <v>1216</v>
    <v>436</v>
    <v>Montreal</v>
    <v>mdp/vdpid/5293949126482853889</v>
  </rv>
  <rv s="1">
    <fb>6.8918382450780802E-2</fb>
    <v>37</v>
  </rv>
  <rv s="1">
    <fb>9984670</fb>
    <v>11</v>
  </rv>
  <rv s="1">
    <fb>72000</fb>
    <v>11</v>
  </rv>
  <rv s="1">
    <fb>10.1</fb>
    <v>38</v>
  </rv>
  <rv s="0">
    <v>536870912</v>
    <v>Ottawa</v>
    <v>3f2544d2-4937-9101-2f53-621199e253e5</v>
    <v>en-AU</v>
    <v>Map</v>
  </rv>
  <rv s="1">
    <fb>544894.19799999997</fb>
    <v>11</v>
  </rv>
  <rv s="1">
    <fb>116.75729822552999</fb>
    <v>40</v>
  </rv>
  <rv s="1">
    <fb>1.9492690241159599E-2</fb>
    <v>37</v>
  </rv>
  <rv s="1">
    <fb>15588.4871464315</fb>
    <v>11</v>
  </rv>
  <rv s="1">
    <fb>1.4987999999999999</fb>
    <v>38</v>
  </rv>
  <rv s="1">
    <fb>0.38161546668997998</fb>
    <v>37</v>
  </rv>
  <rv s="1">
    <fb>74.089062024805997</fb>
    <v>41</v>
  </rv>
  <rv s="1">
    <fb>0.81</fb>
    <v>42</v>
  </rv>
  <rv s="1">
    <fb>1736425629519.96</fb>
    <v>43</v>
  </rv>
  <rv s="1">
    <fb>1.0094368</fb>
    <v>37</v>
  </rv>
  <rv s="1">
    <fb>0.68922510000000003</fb>
    <v>37</v>
  </rv>
  <rv s="5">
    <v>10</v>
    <v>9</v>
    <v>264</v>
    <v>6</v>
    <v>0</v>
    <v>Image of Canada</v>
  </rv>
  <rv s="1">
    <fb>4.3</fb>
    <v>41</v>
  </rv>
  <rv s="0">
    <v>536870912</v>
    <v>Toronto</v>
    <v>e9c1d78f-effd-4cbf-af56-ce709763b200</v>
    <v>en-AU</v>
    <v>Map</v>
  </rv>
  <rv s="0">
    <v>805306368</v>
    <v>Justin Trudeau (Prime Minister)</v>
    <v>d37aba31-28d1-b943-f0c6-dbddeb460528</v>
    <v>en-AU</v>
    <v>Generic</v>
  </rv>
  <rv s="2">
    <v>69</v>
  </rv>
  <rv s="3">
    <v>https://www.bing.com/search?q=canada+country&amp;form=skydnc</v>
    <v>Learn more on Bing</v>
  </rv>
  <rv s="1">
    <fb>81.948780487804896</fb>
    <v>41</v>
  </rv>
  <rv s="1">
    <fb>1937902710000</fb>
    <v>43</v>
  </rv>
  <rv s="1">
    <fb>10</fb>
    <v>41</v>
  </rv>
  <rv s="1">
    <fb>9.51</fb>
    <v>42</v>
  </rv>
  <rv s="2">
    <v>70</v>
  </rv>
  <rv s="1">
    <fb>0.1458492763</fb>
    <v>37</v>
  </rv>
  <rv s="1">
    <fb>2.6101999999999999</fb>
    <v>38</v>
  </rv>
  <rv s="1">
    <fb>36991981</fb>
    <v>11</v>
  </rv>
  <rv s="1">
    <fb>0.23300000000000001</fb>
    <v>37</v>
  </rv>
  <rv s="1">
    <fb>0.251</fb>
    <v>37</v>
  </rv>
  <rv s="1">
    <fb>0.40600000000000003</fb>
    <v>37</v>
  </rv>
  <rv s="1">
    <fb>6.7000000000000004E-2</fb>
    <v>37</v>
  </rv>
  <rv s="1">
    <fb>0.124</fb>
    <v>37</v>
  </rv>
  <rv s="1">
    <fb>0.17</fb>
    <v>37</v>
  </rv>
  <rv s="1">
    <fb>0.65070999145507802</fb>
    <v>37</v>
  </rv>
  <rv s="0">
    <v>536870912</v>
    <v>Ontario</v>
    <v>070ad921-224a-9ed5-6fe1-8eab57b4b2e7</v>
    <v>en-AU</v>
    <v>Map</v>
  </rv>
  <rv s="0">
    <v>536870912</v>
    <v>British Columbia</v>
    <v>32a8fd1c-cd9d-0da9-35fb-f952ed824d4f</v>
    <v>en-AU</v>
    <v>Map</v>
  </rv>
  <rv s="0">
    <v>536870912</v>
    <v>Alberta</v>
    <v>ac4b7d59-c4be-889f-9a45-7e7c524794ec</v>
    <v>en-AU</v>
    <v>Map</v>
  </rv>
  <rv s="0">
    <v>536870912</v>
    <v>Manitoba</v>
    <v>21c9c883-dcc4-1490-a815-79c6eb525369</v>
    <v>en-AU</v>
    <v>Map</v>
  </rv>
  <rv s="0">
    <v>536870912</v>
    <v>Quebec City</v>
    <v>8a8e64f6-510b-8816-6d69-6b5a37c533d8</v>
    <v>en-AU</v>
    <v>Map</v>
  </rv>
  <rv s="0">
    <v>536870912</v>
    <v>Nova Scotia</v>
    <v>baa4aedd-bbb6-989e-cba4-ec2c9bdd906a</v>
    <v>en-AU</v>
    <v>Map</v>
  </rv>
  <rv s="0">
    <v>536870912</v>
    <v>Prince Edward Island</v>
    <v>4e4aadcb-4928-0762-e307-bc01ba8f3dfb</v>
    <v>en-AU</v>
    <v>Map</v>
  </rv>
  <rv s="0">
    <v>536870912</v>
    <v>Saskatchewan</v>
    <v>ec7108bb-bd34-c969-f3f2-2a9eed70102e</v>
    <v>en-AU</v>
    <v>Map</v>
  </rv>
  <rv s="0">
    <v>536870912</v>
    <v>Newfoundland and Labrador</v>
    <v>895215e2-2c65-6494-fa6a-1f441a39ac4f</v>
    <v>en-AU</v>
    <v>Map</v>
  </rv>
  <rv s="0">
    <v>536870912</v>
    <v>New Brunswick</v>
    <v>ed967bed-da27-9206-2407-d4e698015192</v>
    <v>en-AU</v>
    <v>Map</v>
  </rv>
  <rv s="0">
    <v>536870912</v>
    <v>Nunavut</v>
    <v>5220a5b2-1244-23fe-9851-d4b0373ac92e</v>
    <v>en-AU</v>
    <v>Map</v>
  </rv>
  <rv s="0">
    <v>536870912</v>
    <v>Yukon</v>
    <v>68d0a1b9-92a8-857c-53f4-9150cd050ece</v>
    <v>en-AU</v>
    <v>Map</v>
  </rv>
  <rv s="0">
    <v>536870912</v>
    <v>Northwest Territories</v>
    <v>2e2284ce-2cc1-0b16-10e6-0783ada7c95b</v>
    <v>en-AU</v>
    <v>Map</v>
  </rv>
  <rv s="2">
    <v>71</v>
  </rv>
  <rv s="1">
    <fb>0.12844017475747799</fb>
    <v>37</v>
  </rv>
  <rv s="2">
    <v>72</v>
  </rv>
  <rv s="1">
    <fb>0.245</fb>
    <v>37</v>
  </rv>
  <rv s="1">
    <fb>5.5640001296997095E-2</fb>
    <v>45</v>
  </rv>
  <rv s="1">
    <fb>30628482</fb>
    <v>11</v>
  </rv>
  <rv s="6">
    <v>#VALUE!</v>
    <v>en-AU</v>
    <v>370ed614-32e1-4326-a356-dc0a7dd56aaa</v>
    <v>536870912</v>
    <v>1</v>
    <v>262</v>
    <v>34</v>
    <v>Canada</v>
    <v>7</v>
    <v>35</v>
    <v>Map</v>
    <v>9</v>
    <v>263</v>
    <v>CA</v>
    <v>1218</v>
    <v>1219</v>
    <v>1220</v>
    <v>1221</v>
    <v>442</v>
    <v>1222</v>
    <v>1223</v>
    <v>1224</v>
    <v>1225</v>
    <v>CAD</v>
    <v>Canada is a country in North America. Its ten provinces and three territories extend from the Atlantic Ocean to the Pacific Ocean and northward into the Arctic Ocean, covering over 9.98 million square kilometres, making it the world's second-largest country by total area. Its southern and western border with the United States, stretching 8,891 kilometres, is the world's longest binational land border. Canada's capital is Ottawa, and its three largest metropolitan areas are Toronto, Montreal, and Vancouver.</v>
    <v>1226</v>
    <v>1227</v>
    <v>1228</v>
    <v>1229</v>
    <v>1230</v>
    <v>1231</v>
    <v>1232</v>
    <v>1233</v>
    <v>1234</v>
    <v>1235</v>
    <v>1236</v>
    <v>1238</v>
    <v>1239</v>
    <v>1240</v>
    <v>1241</v>
    <v>1242</v>
    <v>1243</v>
    <v>Canada</v>
    <v>O Canada</v>
    <v>1244</v>
    <v>Canada</v>
    <v>1245</v>
    <v>1246</v>
    <v>1247</v>
    <v>1248</v>
    <v>1249</v>
    <v>1250</v>
    <v>666</v>
    <v>1251</v>
    <v>1252</v>
    <v>1253</v>
    <v>1254</v>
    <v>1268</v>
    <v>1269</v>
    <v>1270</v>
    <v>1271</v>
    <v>1272</v>
    <v>Canada</v>
    <v>1273</v>
    <v>mdp/vdpid/39</v>
  </rv>
  <rv s="0">
    <v>536870912</v>
    <v>Sydney</v>
    <v>3ecec2e8-2993-42e7-7299-f693bbe3b9b9</v>
    <v>en-AU</v>
    <v>Map</v>
  </rv>
  <rv s="0">
    <v>536870912</v>
    <v>New South Wales</v>
    <v>9143b1e4-782f-52c3-0f4a-cea5eaf6f36a</v>
    <v>en-AU</v>
    <v>Map</v>
  </rv>
  <rv s="0">
    <v>536870912</v>
    <v>Cumberland County, New South Wales</v>
    <v>25c44859-31a4-3945-f0b7-3c8f4bcbc5d4</v>
    <v>en-AU</v>
    <v>Map</v>
  </rv>
  <rv s="1">
    <fb>12144.6</fb>
    <v>11</v>
  </rv>
  <rv s="0">
    <v>536870912</v>
    <v>Australia</v>
    <v>06de2191-243d-a83f-6990-2eb1c7f3382a</v>
    <v>en-AU</v>
    <v>Map</v>
  </rv>
  <rv s="1">
    <fb>-33.872763499999998</fb>
    <v>12</v>
  </rv>
  <rv s="3">
    <v>https://www.bing.com/search?q=sydney+australia&amp;form=skydnc</v>
    <v>Learn more on Bing</v>
  </rv>
  <rv s="1">
    <fb>151.20534459999999</fb>
    <v>12</v>
  </rv>
  <rv s="1">
    <fb>5231147</fb>
    <v>11</v>
  </rv>
  <rv s="2">
    <v>73</v>
  </rv>
  <rv s="20">
    <v>#VALUE!</v>
    <v>en-AU</v>
    <v>3ecec2e8-2993-42e7-7299-f693bbe3b9b9</v>
    <v>536870912</v>
    <v>1</v>
    <v>268</v>
    <v>269</v>
    <v>Sydney</v>
    <v>7</v>
    <v>8</v>
    <v>Map</v>
    <v>9</v>
    <v>190</v>
    <v>1276</v>
    <v>1277</v>
    <v>1278</v>
    <v>1279</v>
    <v>Sydney is the capital city of the state of New South Wales, and the most populous city in both Australia and Oceania. Located on Australia's east coast, the metropolis surrounds Port Jackson and extends about 70 km on its periphery towards the Blue Mountains to the west, Hawkesbury to the north, the Royal National Park to the south and Macarthur to the south-west. Sydney is made up of 658 suburbs, spread across 33 local government areas. Residents of the city are known as "Sydneysiders". As of June 2021, Sydney's estimated metropolitan population was 5,231,147, meaning the city is home to approximately 66% of the state's population. Nicknames of the city include the 'Emerald City' and the 'Harbour City'.</v>
    <v>1280</v>
    <v>1281</v>
    <v>1282</v>
    <v>Sydney</v>
    <v>1283</v>
    <v>1284</v>
    <v>Sydney</v>
    <v>mdp/vdpid/8878834554543013889</v>
  </rv>
  <rv s="1">
    <fb>0.48241944248714902</fb>
    <v>37</v>
  </rv>
  <rv s="1">
    <fb>7741220</fb>
    <v>11</v>
  </rv>
  <rv s="1">
    <fb>58000</fb>
    <v>11</v>
  </rv>
  <rv s="1">
    <fb>12.6</fb>
    <v>38</v>
  </rv>
  <rv s="1">
    <fb>61</fb>
    <v>39</v>
  </rv>
  <rv s="0">
    <v>536870912</v>
    <v>Canberra</v>
    <v>59ab58e3-2f00-9175-e7b8-76d910040855</v>
    <v>en-AU</v>
    <v>Map</v>
  </rv>
  <rv s="1">
    <fb>375907.837</fb>
    <v>11</v>
  </rv>
  <rv s="1">
    <fb>119.797086368366</fb>
    <v>40</v>
  </rv>
  <rv s="1">
    <fb>1.61076787290379E-2</fb>
    <v>37</v>
  </rv>
  <rv s="1">
    <fb>10071.3989785006</fb>
    <v>11</v>
  </rv>
  <rv s="1">
    <fb>1.74</fb>
    <v>38</v>
  </rv>
  <rv s="1">
    <fb>0.16258278059599401</fb>
    <v>37</v>
  </rv>
  <rv s="1">
    <fb>89.625630110237395</fb>
    <v>41</v>
  </rv>
  <rv s="1">
    <fb>0.93</fb>
    <v>42</v>
  </rv>
  <rv s="1">
    <fb>1392680589329.1399</fb>
    <v>43</v>
  </rv>
  <rv s="1">
    <fb>1.0033898000000001</fb>
    <v>37</v>
  </rv>
  <rv s="1">
    <fb>1.1314216000000001</fb>
    <v>37</v>
  </rv>
  <rv s="5">
    <v>11</v>
    <v>9</v>
    <v>280</v>
    <v>6</v>
    <v>0</v>
    <v>Image of Australia</v>
  </rv>
  <rv s="0">
    <v>805306368</v>
    <v>Elizabeth II (Monarch)</v>
    <v>01e347c1-9d99-c7e6-79d1-390a1844d093</v>
    <v>en-AU</v>
    <v>Generic</v>
  </rv>
  <rv s="0">
    <v>805306368</v>
    <v>Marise Payne (Minister)</v>
    <v>cd9c9929-6142-5198-b223-76f660676213</v>
    <v>en-AU</v>
    <v>Generic</v>
  </rv>
  <rv s="0">
    <v>805306368</v>
    <v>Michael Sukkar (Minister)</v>
    <v>27192705-0614-e5d2-5d14-1a6dfcd54b04</v>
    <v>en-AU</v>
    <v>Generic</v>
  </rv>
  <rv s="0">
    <v>805306368</v>
    <v>David Littleproud (Minister)</v>
    <v>2a188c78-f1bd-2fa4-6ea0-416519b983f6</v>
    <v>en-AU</v>
    <v>Generic</v>
  </rv>
  <rv s="2">
    <v>74</v>
  </rv>
  <rv s="3">
    <v>https://www.bing.com/search?q=australia&amp;form=skydnc</v>
    <v>Learn more on Bing</v>
  </rv>
  <rv s="1">
    <fb>82.748780487804893</fb>
    <v>41</v>
  </rv>
  <rv s="1">
    <fb>1487598500000</fb>
    <v>43</v>
  </rv>
  <rv s="1">
    <fb>6</fb>
    <v>41</v>
  </rv>
  <rv s="1">
    <fb>13.59</fb>
    <v>42</v>
  </rv>
  <rv s="1">
    <fb>0.19558295019999999</fb>
    <v>37</v>
  </rv>
  <rv s="1">
    <fb>3.6778</fb>
    <v>38</v>
  </rv>
  <rv s="1">
    <fb>25766605</fb>
    <v>11</v>
  </rv>
  <rv s="1">
    <fb>0.221</fb>
    <v>37</v>
  </rv>
  <rv s="1">
    <fb>0.27</fb>
    <v>37</v>
  </rv>
  <rv s="1">
    <fb>7.400000000000001E-2</fb>
    <v>37</v>
  </rv>
  <rv s="1">
    <fb>0.122</fb>
    <v>37</v>
  </rv>
  <rv s="1">
    <fb>0.161</fb>
    <v>37</v>
  </rv>
  <rv s="1">
    <fb>0.65517997741699208</fb>
    <v>37</v>
  </rv>
  <rv s="0">
    <v>536870912</v>
    <v>South Australia</v>
    <v>202994ba-49c2-98c5-91fa-e0b05ffcf2da</v>
    <v>en-AU</v>
    <v>Map</v>
  </rv>
  <rv s="0">
    <v>536870912</v>
    <v>Tasmania</v>
    <v>8327961c-5e1c-9007-38cc-b90bc76e7bc3</v>
    <v>en-AU</v>
    <v>Map</v>
  </rv>
  <rv s="0">
    <v>536870912</v>
    <v>Australian Capital Territory</v>
    <v>c296eb2e-2c1a-16bf-bc37-164541ce7365</v>
    <v>en-AU</v>
    <v>Map</v>
  </rv>
  <rv s="0">
    <v>536870912</v>
    <v>Queensland</v>
    <v>d8d1c6ea-bc68-82f2-5bb3-ae7aa11442b4</v>
    <v>en-AU</v>
    <v>Map</v>
  </rv>
  <rv s="0">
    <v>536870912</v>
    <v>Western Australia</v>
    <v>bf87c7cd-72cb-99af-809b-eb7577149dcd</v>
    <v>en-AU</v>
    <v>Map</v>
  </rv>
  <rv s="0">
    <v>536870912</v>
    <v>Victoria</v>
    <v>afad25fd-4cbc-2e30-7764-19bd8a1cb1bc</v>
    <v>en-AU</v>
    <v>Map</v>
  </rv>
  <rv s="0">
    <v>536870912</v>
    <v>Northern Territory</v>
    <v>20947ace-4dd4-0516-21df-2af8da517b06</v>
    <v>en-AU</v>
    <v>Map</v>
  </rv>
  <rv s="2">
    <v>75</v>
  </rv>
  <rv s="1">
    <fb>0.22985815296127299</fb>
    <v>37</v>
  </rv>
  <rv s="2">
    <v>76</v>
  </rv>
  <rv s="1">
    <fb>0.47399999999999998</fb>
    <v>37</v>
  </rv>
  <rv s="1">
    <fb>5.2680001258850098E-2</fb>
    <v>45</v>
  </rv>
  <rv s="1">
    <fb>21844756</fb>
    <v>11</v>
  </rv>
  <rv s="6">
    <v>#VALUE!</v>
    <v>en-AU</v>
    <v>06de2191-243d-a83f-6990-2eb1c7f3382a</v>
    <v>536870912</v>
    <v>1</v>
    <v>278</v>
    <v>34</v>
    <v>Australia</v>
    <v>7</v>
    <v>35</v>
    <v>Map</v>
    <v>9</v>
    <v>279</v>
    <v>AU</v>
    <v>1286</v>
    <v>1287</v>
    <v>1288</v>
    <v>1289</v>
    <v>1290</v>
    <v>1291</v>
    <v>1292</v>
    <v>1293</v>
    <v>1294</v>
    <v>AUD</v>
    <v>Australia, officially the Commonwealth of Australia, is a sovereign country comprising the mainland of the Australian continent, the island of Tasmania, and numerous smaller islands. With an area of 7,617,930 square kilometres, Australia is the largest country by area in Oceania and the world's sixth-largest country. Australia is the oldest, flattest, and driest inhabited continent, with the least fertile soils. It is a megadiverse country, and its size gives it a wide variety of landscapes and climates, with deserts in the centre, tropical rainforests in the north-east, and mountain ranges in the south-east.</v>
    <v>1295</v>
    <v>1296</v>
    <v>1297</v>
    <v>1298</v>
    <v>1299</v>
    <v>1300</v>
    <v>1301</v>
    <v>1302</v>
    <v>1303</v>
    <v>29</v>
    <v>1275</v>
    <v>1308</v>
    <v>1309</v>
    <v>1310</v>
    <v>1311</v>
    <v>1312</v>
    <v>1313</v>
    <v>Australia</v>
    <v>Advance Australia Fair</v>
    <v>378</v>
    <v>Commonwealth of Australia</v>
    <v>1314</v>
    <v>1315</v>
    <v>1316</v>
    <v>1317</v>
    <v>1318</v>
    <v>729</v>
    <v>830</v>
    <v>1319</v>
    <v>1320</v>
    <v>1321</v>
    <v>1322</v>
    <v>1330</v>
    <v>1331</v>
    <v>1332</v>
    <v>1333</v>
    <v>1334</v>
    <v>Australia</v>
    <v>1335</v>
    <v>mdp/vdpid/12</v>
  </rv>
  <rv s="0">
    <v>536870912</v>
    <v>Dubai</v>
    <v>be495e21-8e36-a64d-d87a-350ba05996eb</v>
    <v>en-AU</v>
    <v>Map</v>
  </rv>
  <rv s="1">
    <fb>4114</fb>
    <v>11</v>
  </rv>
  <rv s="0">
    <v>536870912</v>
    <v>United Arab Emirates</v>
    <v>254a2621-4625-0f85-0b9d-13e4e75e5c9b</v>
    <v>en-AU</v>
    <v>Map</v>
  </rv>
  <rv s="3">
    <v>https://www.bing.com/search?q=dubai&amp;form=skydnc</v>
    <v>Learn more on Bing</v>
  </rv>
  <rv s="1">
    <fb>3515813</fb>
    <v>11</v>
  </rv>
  <rv s="2">
    <v>77</v>
  </rv>
  <rv s="21">
    <v>#VALUE!</v>
    <v>en-AU</v>
    <v>be495e21-8e36-a64d-d87a-350ba05996eb</v>
    <v>536870912</v>
    <v>1</v>
    <v>284</v>
    <v>285</v>
    <v>Dubai</v>
    <v>7</v>
    <v>8</v>
    <v>Map</v>
    <v>9</v>
    <v>190</v>
    <v>AE-DU</v>
    <v>1338</v>
    <v>1339</v>
    <v>Dubai is the most populous city in the United Arab Emirates and the capital of the Emirate of Dubai. Established in the 18th century as a small fishing village, the city grew rapidly in the early 21st century with a focus on tourism and hospitality, having the second most five-star hotels in the world, and the tallest building in the world, the Burj Khalifa.</v>
    <v>1340</v>
    <v>Dubai</v>
    <v>1341</v>
    <v>1342</v>
    <v>Dubai</v>
    <v>mdp/vdpid/7376477268119388161</v>
  </rv>
  <rv s="1">
    <fb>5.4745140494645003E-2</fb>
    <v>37</v>
  </rv>
  <rv s="1">
    <fb>83600</fb>
    <v>11</v>
  </rv>
  <rv s="1">
    <fb>63000</fb>
    <v>11</v>
  </rv>
  <rv s="1">
    <fb>10.331</fb>
    <v>38</v>
  </rv>
  <rv s="1">
    <fb>971</fb>
    <v>39</v>
  </rv>
  <rv s="0">
    <v>536870912</v>
    <v>Abu Dhabi</v>
    <v>5c13f73c-6c26-b05a-8294-4e5d670b582c</v>
    <v>en-AU</v>
    <v>Map</v>
  </rv>
  <rv s="1">
    <fb>206323.755</fb>
    <v>11</v>
  </rv>
  <rv s="1">
    <fb>114.52466053234301</fb>
    <v>40</v>
  </rv>
  <rv s="1">
    <fb>-1.9310811478217102E-2</fb>
    <v>37</v>
  </rv>
  <rv s="1">
    <fb>11088.3502863794</fb>
    <v>11</v>
  </rv>
  <rv s="1">
    <fb>1.413</fb>
    <v>38</v>
  </rv>
  <rv s="1">
    <fb>4.5573078521840199E-2</fb>
    <v>37</v>
  </rv>
  <rv s="1">
    <fb>86.1283490244126</fb>
    <v>41</v>
  </rv>
  <rv s="1">
    <fb>421142267937.65002</fb>
    <v>43</v>
  </rv>
  <rv s="1">
    <fb>1.0839706</fb>
    <v>37</v>
  </rv>
  <rv s="1">
    <fb>0.36847080230712898</fb>
    <v>37</v>
  </rv>
  <rv s="1">
    <fb>6.5</fb>
    <v>41</v>
  </rv>
  <rv s="0">
    <v>805306368</v>
    <v>Sultan bin Mohamed Al-Qasimi (Emir)</v>
    <v>2d5bad65-3325-fabf-a164-a16581d7536d</v>
    <v>en-AU</v>
    <v>Generic</v>
  </rv>
  <rv s="0">
    <v>805306368</v>
    <v>Mohammed bin Zayed Al Nahyan (President)</v>
    <v>f9a564f5-d322-fa19-3bc8-73e961373e10</v>
    <v>en-AU</v>
    <v>Generic</v>
  </rv>
  <rv s="2">
    <v>78</v>
  </rv>
  <rv s="3">
    <v>https://www.bing.com/search?q=united+arab+emirates&amp;form=skydnc</v>
    <v>Learn more on Bing</v>
  </rv>
  <rv s="1">
    <fb>77.813999999999993</fb>
    <v>41</v>
  </rv>
  <rv s="1">
    <fb>247209143274.88101</fb>
    <v>43</v>
  </rv>
  <rv s="1">
    <fb>3</fb>
    <v>41</v>
  </rv>
  <rv s="2">
    <v>79</v>
  </rv>
  <rv s="1">
    <fb>0.1778964985</fb>
    <v>37</v>
  </rv>
  <rv s="1">
    <fb>2.5278</fb>
    <v>38</v>
  </rv>
  <rv s="1">
    <fb>9770529</fb>
    <v>11</v>
  </rv>
  <rv s="1">
    <fb>0.255</fb>
    <v>37</v>
  </rv>
  <rv s="1">
    <fb>0.38200000000000001</fb>
    <v>37</v>
  </rv>
  <rv s="1">
    <fb>2.3E-2</fb>
    <v>37</v>
  </rv>
  <rv s="1">
    <fb>6.2E-2</fb>
    <v>37</v>
  </rv>
  <rv s="1">
    <fb>0.18</fb>
    <v>37</v>
  </rv>
  <rv s="1">
    <fb>0.82094001770019498</fb>
    <v>37</v>
  </rv>
  <rv s="0">
    <v>536870912</v>
    <v>Abu Dhabi</v>
    <v>64d30bb6-7457-2a4b-5a2a-ef4f432d2eb6</v>
    <v>en-AU</v>
    <v>Map</v>
  </rv>
  <rv s="0">
    <v>536870912</v>
    <v>Sharjah</v>
    <v>d4a83efb-738c-4204-0d9b-311bba6e7d55</v>
    <v>en-AU</v>
    <v>Map</v>
  </rv>
  <rv s="0">
    <v>536870912</v>
    <v>Ajman</v>
    <v>05dd5301-51f7-b056-d805-4ea29e2fe760</v>
    <v>en-AU</v>
    <v>Map</v>
  </rv>
  <rv s="2">
    <v>80</v>
  </rv>
  <rv s="1">
    <fb>5.9310281329913201E-4</fb>
    <v>37</v>
  </rv>
  <rv s="2">
    <v>81</v>
  </rv>
  <rv s="1">
    <fb>0.159</fb>
    <v>37</v>
  </rv>
  <rv s="1">
    <fb>2.3480000495910602E-2</fb>
    <v>45</v>
  </rv>
  <rv s="1">
    <fb>8479744</fb>
    <v>11</v>
  </rv>
  <rv s="15">
    <v>#VALUE!</v>
    <v>en-AU</v>
    <v>254a2621-4625-0f85-0b9d-13e4e75e5c9b</v>
    <v>536870912</v>
    <v>1</v>
    <v>294</v>
    <v>167</v>
    <v>United Arab Emirates</v>
    <v>7</v>
    <v>8</v>
    <v>Map</v>
    <v>9</v>
    <v>295</v>
    <v>AE</v>
    <v>1344</v>
    <v>1345</v>
    <v>1346</v>
    <v>1347</v>
    <v>1348</v>
    <v>1349</v>
    <v>1350</v>
    <v>1351</v>
    <v>1352</v>
    <v>AED</v>
    <v>The United Arab Emirates, or simply the Emirates, is a country in Western Asia. It is located at the eastern end of the Arabian Peninsula and shares borders with Oman and Saudi Arabia, while having maritime borders in the Persian Gulf with Qatar and Iran. Abu Dhabi is the nation's capital, while Dubai, the most populous city, is an international hub.</v>
    <v>1353</v>
    <v>1354</v>
    <v>1355</v>
    <v>1356</v>
    <v>377</v>
    <v>1357</v>
    <v>1358</v>
    <v>1359</v>
    <v>1360</v>
    <v>1337</v>
    <v>1363</v>
    <v>1364</v>
    <v>1365</v>
    <v>1366</v>
    <v>1367</v>
    <v>United Arab Emirates</v>
    <v>Ishy Bilady</v>
    <v>1368</v>
    <v>United Arab Emirates</v>
    <v>1369</v>
    <v>1370</v>
    <v>1371</v>
    <v>1372</v>
    <v>1026</v>
    <v>1373</v>
    <v>1374</v>
    <v>1375</v>
    <v>585</v>
    <v>1376</v>
    <v>1377</v>
    <v>1381</v>
    <v>1382</v>
    <v>1383</v>
    <v>1384</v>
    <v>1385</v>
    <v>United Arab Emirates</v>
    <v>1386</v>
    <v>mdp/vdpid/224</v>
  </rv>
</rvData>
</file>

<file path=xl/richData/rdrichvaluestructure.xml><?xml version="1.0" encoding="utf-8"?>
<rvStructures xmlns="http://schemas.microsoft.com/office/spreadsheetml/2017/richdata" count="22">
  <s t="_linkedentity2">
    <k n="%EntityServiceId" t="i"/>
    <k n="_DisplayString" t="s"/>
    <k n="%EntityId" t="s"/>
    <k n="%EntityCulture" t="s"/>
    <k n="_Icon" t="s"/>
  </s>
  <s t="_formattednumber">
    <k n="_Format" t="spb"/>
  </s>
  <s t="_array">
    <k n="array" t="a"/>
  </s>
  <s t="_hyperlink">
    <k n="Address" t="s"/>
    <k n="Text" t="s"/>
  </s>
  <s t="_linkedentity2core">
    <k n="_CRID" t="e"/>
    <k n="%EntityCulture" t="s"/>
    <k n="%EntityId" t="s"/>
    <k n="%EntityServiceId" t="i"/>
    <k n="%IsRefreshable" t="b"/>
    <k n="_Attribution" t="spb"/>
    <k n="_Display" t="spb"/>
    <k n="_DisplayString" t="s"/>
    <k n="_Flags" t="spb"/>
    <k n="_Format" t="spb"/>
    <k n="_Icon" t="s"/>
    <k n="_Provider" t="spb"/>
    <k n="_SubLabel" t="spb"/>
    <k n="Area" t="r"/>
    <k n="Country/region" t="r"/>
    <k n="Description" t="s"/>
    <k n="Latitude" t="r"/>
    <k n="Leader(s)" t="r"/>
    <k n="LearnMoreOnLink" t="r"/>
    <k n="Longitude" t="r"/>
    <k n="Name" t="s"/>
    <k n="Population" t="r"/>
    <k n="Time zone(s)" t="r"/>
    <k n="UniqueName" t="s"/>
    <k n="VDPID/VSID" t="s"/>
  </s>
  <s t="_webimage">
    <k n="WebImageIdentifier" t="i"/>
    <k n="_Provider" t="spb"/>
    <k n="Attribution" t="spb"/>
    <k n="CalcOrigin" t="i"/>
    <k n="ComputedImage" t="b"/>
    <k n="Text"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rket cap of listed companies"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dmin Division 1 (State/province/other)" t="r"/>
    <k n="Admin Division 2 (County/district/other)" t="r"/>
    <k n="Area" t="r"/>
    <k n="Country/region" t="r"/>
    <k n="Description" t="s"/>
    <k n="Latitude" t="r"/>
    <k n="Leader(s)" t="r"/>
    <k n="LearnMoreOnLink" t="r"/>
    <k n="Longitude"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apital/Major City" t="s"/>
    <k n="Country/region" t="r"/>
    <k n="Description" t="s"/>
    <k n="Leader(s)" t="r"/>
    <k n="LearnMoreOnLink"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nfant mortality" t="r"/>
    <k n="Largest city" t="r"/>
    <k n="Leader(s)" t="r"/>
    <k n="LearnMoreOnLink" t="r"/>
    <k n="Life expectancy" t="r"/>
    <k n="Market cap of listed companies"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dmin Division 1 (State/province/other)" t="r"/>
    <k n="Area" t="r"/>
    <k n="Country/region" t="r"/>
    <k n="Description" t="s"/>
    <k n="Latitude" t="r"/>
    <k n="Leader(s)" t="r"/>
    <k n="LearnMoreOnLink" t="r"/>
    <k n="Longitude"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Birth rate" t="r"/>
    <k n="Calling code" t="r"/>
    <k n="Capital/Major City" t="r"/>
    <k n="Carbon dioxide emissions" t="r"/>
    <k n="CPI" t="r"/>
    <k n="CPI Change (%)" t="r"/>
    <k n="Description" t="s"/>
    <k n="Electric power consumption" t="r"/>
    <k n="Fertility rate" t="r"/>
    <k n="Fossil fuel energy consumption" t="r"/>
    <k n="Gasoline price" t="r"/>
    <k n="GDP" t="r"/>
    <k n="Gross primary education enrollment (%)" t="r"/>
    <k n="Gross tertiary education enrollment (%)" t="r"/>
    <k n="Largest city" t="r"/>
    <k n="LearnMoreOnLink" t="r"/>
    <k n="Life expectancy" t="r"/>
    <k n="Market cap of listed companies" t="r"/>
    <k n="Minimum wage" t="r"/>
    <k n="Name" t="s"/>
    <k n="National anthem" t="s"/>
    <k n="Official language" t="r"/>
    <k n="Official name" t="s"/>
    <k n="Physicians per thousand" t="r"/>
    <k n="Population" t="r"/>
    <k n="Population: Labor force participation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dmin Division 1 (State/province/other)" t="r"/>
    <k n="Area" t="r"/>
    <k n="Country/region" t="r"/>
    <k n="Description" t="s"/>
    <k n="Image" t="r"/>
    <k n="Latitude" t="r"/>
    <k n="Leader(s)" t="r"/>
    <k n="LearnMoreOnLink" t="r"/>
    <k n="Longitude"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nfant mortality" t="r"/>
    <k n="Largest city" t="r"/>
    <k n="Leader(s)" t="r"/>
    <k n="LearnMoreOnLink" t="r"/>
    <k n="Life expectancy" t="r"/>
    <k n="Market cap of listed companies"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dmin Division 1 (State/province/other)" t="r"/>
    <k n="Area" t="r"/>
    <k n="Country/region" t="r"/>
    <k n="Description" t="s"/>
    <k n="Latitude" t="r"/>
    <k n="LearnMoreOnLink" t="r"/>
    <k n="Longitude"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nfant mortality" t="r"/>
    <k n="Largest city" t="r"/>
    <k n="Leader(s)" t="r"/>
    <k n="LearnMoreOnLink" t="r"/>
    <k n="Life expectancy" t="r"/>
    <k n="Market cap of listed companies" t="r"/>
    <k n="Maternal mortality ratio"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rket cap of listed companies" t="r"/>
    <k n="Maternal mortality ratio"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ountry/region" t="r"/>
    <k n="Description" t="s"/>
    <k n="Leader(s)" t="r"/>
    <k n="LearnMoreOnLink"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ountry/region" t="r"/>
    <k n="Description" t="s"/>
    <k n="Households" t="r"/>
    <k n="Housing units" t="r"/>
    <k n="Leader(s)" t="r"/>
    <k n="LearnMoreOnLink"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dmin Division 1 (State/province/other)" t="r"/>
    <k n="Admin Division 2 (County/district/other)" t="r"/>
    <k n="Area" t="r"/>
    <k n="Country/region" t="r"/>
    <k n="Description" t="s"/>
    <k n="Image" t="r"/>
    <k n="Latitude" t="r"/>
    <k n="Leader(s)" t="r"/>
    <k n="LearnMoreOnLink" t="r"/>
    <k n="Longitude"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dmin Division 1 (State/province/other)" t="r"/>
    <k n="Admin Division 2 (County/district/other)" t="r"/>
    <k n="Area" t="r"/>
    <k n="Country/region" t="r"/>
    <k n="Description" t="s"/>
    <k n="Latitude" t="r"/>
    <k n="LearnMoreOnLink" t="r"/>
    <k n="Longitude"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ountry/region" t="r"/>
    <k n="Description" t="s"/>
    <k n="LearnMoreOnLink" t="r"/>
    <k n="Name" t="s"/>
    <k n="Population" t="r"/>
    <k n="Time zone(s)" t="r"/>
    <k n="UniqueName" t="s"/>
    <k n="VDPID/VSID" t="s"/>
  </s>
</rvStructures>
</file>

<file path=xl/richData/rdsupportingpropertybag.xml><?xml version="1.0" encoding="utf-8"?>
<supportingPropertyBags xmlns="http://schemas.microsoft.com/office/spreadsheetml/2017/richdata2">
  <spbArrays count="17">
    <a count="24">
      <v t="s">%EntityServiceId</v>
      <v t="s">%IsRefreshable</v>
      <v t="s">%EntityCulture</v>
      <v t="s">%EntityId</v>
      <v t="s">_Icon</v>
      <v t="s">_Provider</v>
      <v t="s">_Attribution</v>
      <v t="s">_Display</v>
      <v t="s">Name</v>
      <v t="s">_Format</v>
      <v t="s">Country/region</v>
      <v t="s">Leader(s)</v>
      <v t="s">_SubLabel</v>
      <v t="s">Population</v>
      <v t="s">Area</v>
      <v t="s">Latitude</v>
      <v t="s">Longitude</v>
      <v t="s">Time zone(s)</v>
      <v t="s">_Flags</v>
      <v t="s">VDPID/VSID</v>
      <v t="s">UniqueName</v>
      <v t="s">_DisplayString</v>
      <v t="s">LearnMoreOnLink</v>
      <v t="s">Description</v>
    </a>
    <a count="64">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26">
      <v t="s">%EntityServiceId</v>
      <v t="s">%IsRefreshable</v>
      <v t="s">%EntityCulture</v>
      <v t="s">%EntityId</v>
      <v t="s">_Icon</v>
      <v t="s">_Provider</v>
      <v t="s">_Attribution</v>
      <v t="s">_Display</v>
      <v t="s">Name</v>
      <v t="s">_Format</v>
      <v t="s">Admin Division 2 (County/district/other)</v>
      <v t="s">Admin Division 1 (State/province/other)</v>
      <v t="s">Country/region</v>
      <v t="s">Leader(s)</v>
      <v t="s">_SubLabel</v>
      <v t="s">Population</v>
      <v t="s">Area</v>
      <v t="s">Latitude</v>
      <v t="s">Longitude</v>
      <v t="s">Time zone(s)</v>
      <v t="s">_Flags</v>
      <v t="s">VDPID/VSID</v>
      <v t="s">UniqueName</v>
      <v t="s">_DisplayString</v>
      <v t="s">LearnMoreOnLink</v>
      <v t="s">Description</v>
    </a>
    <a count="24">
      <v t="s">%EntityServiceId</v>
      <v t="s">%IsRefreshable</v>
      <v t="s">%EntityCulture</v>
      <v t="s">%EntityId</v>
      <v t="s">_Icon</v>
      <v t="s">_Provider</v>
      <v t="s">_Attribution</v>
      <v t="s">_Display</v>
      <v t="s">Name</v>
      <v t="s">_Format</v>
      <v t="s">Capital/Major City</v>
      <v t="s">Leader(s)</v>
      <v t="s">Country/region</v>
      <v t="s">_SubLabel</v>
      <v t="s">Population</v>
      <v t="s">Area</v>
      <v t="s">Abbreviation</v>
      <v t="s">Time zone(s)</v>
      <v t="s">_Flags</v>
      <v t="s">VDPID/VSID</v>
      <v t="s">UniqueName</v>
      <v t="s">_DisplayString</v>
      <v t="s">LearnMoreOnLink</v>
      <v t="s">Description</v>
    </a>
    <a count="63">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Description</v>
    </a>
    <a count="25">
      <v t="s">%EntityServiceId</v>
      <v t="s">%IsRefreshable</v>
      <v t="s">%EntityCulture</v>
      <v t="s">%EntityId</v>
      <v t="s">_Icon</v>
      <v t="s">_Provider</v>
      <v t="s">_Attribution</v>
      <v t="s">_Display</v>
      <v t="s">Name</v>
      <v t="s">_Format</v>
      <v t="s">Admin Division 1 (State/province/other)</v>
      <v t="s">Country/region</v>
      <v t="s">Leader(s)</v>
      <v t="s">_SubLabel</v>
      <v t="s">Population</v>
      <v t="s">Area</v>
      <v t="s">Latitude</v>
      <v t="s">Longitude</v>
      <v t="s">Time zone(s)</v>
      <v t="s">_Flags</v>
      <v t="s">VDPID/VSID</v>
      <v t="s">UniqueName</v>
      <v t="s">_DisplayString</v>
      <v t="s">LearnMoreOnLink</v>
      <v t="s">Description</v>
    </a>
    <a count="47">
      <v t="s">%EntityServiceId</v>
      <v t="s">%IsRefreshable</v>
      <v t="s">%EntityCulture</v>
      <v t="s">%EntityId</v>
      <v t="s">_Icon</v>
      <v t="s">_Provider</v>
      <v t="s">_Attribution</v>
      <v t="s">_Display</v>
      <v t="s">Name</v>
      <v t="s">_Format</v>
      <v t="s">Capital/Major City</v>
      <v t="s">_SubLabel</v>
      <v t="s">Population</v>
      <v t="s">Area</v>
      <v t="s">Abbreviation</v>
      <v t="s">GDP</v>
      <v t="s">Largest city</v>
      <v t="s">National anthem</v>
      <v t="s">Official language</v>
      <v t="s">Official name</v>
      <v t="s">Life expectancy</v>
      <v t="s">Birth rate</v>
      <v t="s">Fertility rate</v>
      <v t="s">Urban population</v>
      <v t="s">Agricultural land (%)</v>
      <v t="s">Carbon dioxide emissions</v>
      <v t="s">Fossil fuel energy consumption</v>
      <v t="s">Gasoline price</v>
      <v t="s">Electric power consumption</v>
      <v t="s">CPI</v>
      <v t="s">CPI Change (%)</v>
      <v t="s">Population: Labor force participation (%)</v>
      <v t="s">Minimum wage</v>
      <v t="s">Total tax rate</v>
      <v t="s">Unemployment rate</v>
      <v t="s">Market cap of listed companies</v>
      <v t="s">Gross primary education enrollment (%)</v>
      <v t="s">Gross tertiary education enrollment (%)</v>
      <v t="s">Physicians per thousand</v>
      <v t="s">Time zone(s)</v>
      <v t="s">Calling code</v>
      <v t="s">_Flags</v>
      <v t="s">VDPID/VSID</v>
      <v t="s">UniqueName</v>
      <v t="s">_DisplayString</v>
      <v t="s">LearnMoreOnLink</v>
      <v t="s">Description</v>
    </a>
    <a count="26">
      <v t="s">%EntityServiceId</v>
      <v t="s">%IsRefreshable</v>
      <v t="s">%EntityCulture</v>
      <v t="s">%EntityId</v>
      <v t="s">_Icon</v>
      <v t="s">_Provider</v>
      <v t="s">_Attribution</v>
      <v t="s">_Display</v>
      <v t="s">Name</v>
      <v t="s">_Format</v>
      <v t="s">Admin Division 1 (State/province/other)</v>
      <v t="s">Country/region</v>
      <v t="s">Leader(s)</v>
      <v t="s">_SubLabel</v>
      <v t="s">Population</v>
      <v t="s">Area</v>
      <v t="s">Latitude</v>
      <v t="s">Longitude</v>
      <v t="s">Time zone(s)</v>
      <v t="s">_Flags</v>
      <v t="s">VDPID/VSID</v>
      <v t="s">UniqueName</v>
      <v t="s">_DisplayString</v>
      <v t="s">LearnMoreOnLink</v>
      <v t="s">Image</v>
      <v t="s">Description</v>
    </a>
    <a count="62">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Market cap of listed companies</v>
      <v t="s">Gross primary education enrollment (%)</v>
      <v t="s">Gross tertiary education enrollment (%)</v>
      <v t="s">Out of pocket health expenditure (%)</v>
      <v t="s">Physicians per thousand</v>
      <v t="s">Armed forces size</v>
      <v t="s">Calling code</v>
      <v t="s">_Flags</v>
      <v t="s">VDPID/VSID</v>
      <v t="s">UniqueName</v>
      <v t="s">_DisplayString</v>
      <v t="s">LearnMoreOnLink</v>
      <v t="s">Description</v>
    </a>
    <a count="24">
      <v t="s">%EntityServiceId</v>
      <v t="s">%IsRefreshable</v>
      <v t="s">%EntityCulture</v>
      <v t="s">%EntityId</v>
      <v t="s">_Icon</v>
      <v t="s">_Provider</v>
      <v t="s">_Attribution</v>
      <v t="s">_Display</v>
      <v t="s">Name</v>
      <v t="s">_Format</v>
      <v t="s">Admin Division 1 (State/province/other)</v>
      <v t="s">Country/region</v>
      <v t="s">_SubLabel</v>
      <v t="s">Population</v>
      <v t="s">Area</v>
      <v t="s">Latitude</v>
      <v t="s">Longitude</v>
      <v t="s">Time zone(s)</v>
      <v t="s">_Flags</v>
      <v t="s">VDPID/VSID</v>
      <v t="s">UniqueName</v>
      <v t="s">_DisplayString</v>
      <v t="s">LearnMoreOnLink</v>
      <v t="s">Description</v>
    </a>
    <a count="62">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Tax revenue (%)</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Description</v>
    </a>
    <a count="63">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Tax revenue (%)</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23">
      <v t="s">%EntityServiceId</v>
      <v t="s">%IsRefreshable</v>
      <v t="s">%EntityCulture</v>
      <v t="s">%EntityId</v>
      <v t="s">_Icon</v>
      <v t="s">_Provider</v>
      <v t="s">_Attribution</v>
      <v t="s">_Display</v>
      <v t="s">Name</v>
      <v t="s">_Format</v>
      <v t="s">Leader(s)</v>
      <v t="s">Country/region</v>
      <v t="s">_SubLabel</v>
      <v t="s">Population</v>
      <v t="s">Area</v>
      <v t="s">Abbreviation</v>
      <v t="s">Time zone(s)</v>
      <v t="s">_Flags</v>
      <v t="s">VDPID/VSID</v>
      <v t="s">UniqueName</v>
      <v t="s">_DisplayString</v>
      <v t="s">LearnMoreOnLink</v>
      <v t="s">Description</v>
    </a>
    <a count="25">
      <v t="s">%EntityServiceId</v>
      <v t="s">%IsRefreshable</v>
      <v t="s">%EntityCulture</v>
      <v t="s">%EntityId</v>
      <v t="s">_Icon</v>
      <v t="s">_Provider</v>
      <v t="s">_Attribution</v>
      <v t="s">_Display</v>
      <v t="s">Name</v>
      <v t="s">_Format</v>
      <v t="s">Leader(s)</v>
      <v t="s">Country/region</v>
      <v t="s">_SubLabel</v>
      <v t="s">Population</v>
      <v t="s">Area</v>
      <v t="s">Abbreviation</v>
      <v t="s">Households</v>
      <v t="s">Housing units</v>
      <v t="s">Time zone(s)</v>
      <v t="s">_Flags</v>
      <v t="s">VDPID/VSID</v>
      <v t="s">UniqueName</v>
      <v t="s">_DisplayString</v>
      <v t="s">LearnMoreOnLink</v>
      <v t="s">Description</v>
    </a>
    <a count="27">
      <v t="s">%EntityServiceId</v>
      <v t="s">%IsRefreshable</v>
      <v t="s">%EntityCulture</v>
      <v t="s">%EntityId</v>
      <v t="s">_Icon</v>
      <v t="s">_Provider</v>
      <v t="s">_Attribution</v>
      <v t="s">_Display</v>
      <v t="s">Name</v>
      <v t="s">_Format</v>
      <v t="s">Admin Division 2 (County/district/other)</v>
      <v t="s">Admin Division 1 (State/province/other)</v>
      <v t="s">Country/region</v>
      <v t="s">Leader(s)</v>
      <v t="s">_SubLabel</v>
      <v t="s">Population</v>
      <v t="s">Area</v>
      <v t="s">Latitude</v>
      <v t="s">Longitude</v>
      <v t="s">Time zone(s)</v>
      <v t="s">_Flags</v>
      <v t="s">VDPID/VSID</v>
      <v t="s">UniqueName</v>
      <v t="s">_DisplayString</v>
      <v t="s">LearnMoreOnLink</v>
      <v t="s">Image</v>
      <v t="s">Description</v>
    </a>
    <a count="25">
      <v t="s">%EntityServiceId</v>
      <v t="s">%IsRefreshable</v>
      <v t="s">%EntityCulture</v>
      <v t="s">%EntityId</v>
      <v t="s">_Icon</v>
      <v t="s">_Provider</v>
      <v t="s">_Attribution</v>
      <v t="s">_Display</v>
      <v t="s">Name</v>
      <v t="s">_Format</v>
      <v t="s">Admin Division 2 (County/district/other)</v>
      <v t="s">Admin Division 1 (State/province/other)</v>
      <v t="s">Country/region</v>
      <v t="s">_SubLabel</v>
      <v t="s">Population</v>
      <v t="s">Area</v>
      <v t="s">Latitude</v>
      <v t="s">Longitude</v>
      <v t="s">Time zone(s)</v>
      <v t="s">_Flags</v>
      <v t="s">VDPID/VSID</v>
      <v t="s">UniqueName</v>
      <v t="s">_DisplayString</v>
      <v t="s">LearnMoreOnLink</v>
      <v t="s">Description</v>
    </a>
    <a count="22">
      <v t="s">%EntityServiceId</v>
      <v t="s">%IsRefreshable</v>
      <v t="s">%EntityCulture</v>
      <v t="s">%EntityId</v>
      <v t="s">_Icon</v>
      <v t="s">_Provider</v>
      <v t="s">_Attribution</v>
      <v t="s">_Display</v>
      <v t="s">Name</v>
      <v t="s">_Format</v>
      <v t="s">Country/region</v>
      <v t="s">_SubLabel</v>
      <v t="s">Population</v>
      <v t="s">Area</v>
      <v t="s">Abbreviation</v>
      <v t="s">Time zone(s)</v>
      <v t="s">_Flags</v>
      <v t="s">VDPID/VSID</v>
      <v t="s">UniqueName</v>
      <v t="s">_DisplayString</v>
      <v t="s">LearnMoreOnLink</v>
      <v t="s">Description</v>
    </a>
  </spbArrays>
  <spbData count="296">
    <spb s="0">
      <v xml:space="preserve">Wikipedia	Wikipedia	</v>
      <v xml:space="preserve">CC-BY-SA	CC-BY-SA	</v>
      <v xml:space="preserve">http://en.wikipedia.org/wiki/Munich	http://fr.wikipedia.org/wiki/Munich	</v>
      <v xml:space="preserve">http://creativecommons.org/licenses/by-sa/3.0/	http://creativecommons.org/licenses/by-sa/3.0/	</v>
    </spb>
    <spb s="0">
      <v xml:space="preserve">Wikipedia	Youtube	Wikipedia	Sec	</v>
      <v xml:space="preserve">CC-BY-SA		CC-BY-SA		</v>
      <v xml:space="preserve">http://en.wikipedia.org/wiki/Munich	https://www.youtube.com/user/MUENCHENdeVIDEOS	https://en.wikipedia.org/wiki/Munich	https://www.sec.gov/cgi-bin/browse-edgar?action=getcompany&amp;CIK=0001897388	</v>
      <v xml:space="preserve">http://creativecommons.org/licenses/by-sa/3.0/		http://creativecommons.org/licenses/by-sa/3.0/		</v>
    </spb>
    <spb s="0">
      <v xml:space="preserve">Wikipedia	</v>
      <v xml:space="preserve">CC-BY-SA	</v>
      <v xml:space="preserve">http://en.wikipedia.org/wiki/Munich	</v>
      <v xml:space="preserve">http://creativecommons.org/licenses/by-sa/3.0/	</v>
    </spb>
    <spb s="1">
      <v>0</v>
      <v>1</v>
      <v>1</v>
      <v>2</v>
      <v>1</v>
    </spb>
    <spb s="2">
      <v>0</v>
      <v>Name</v>
      <v>LearnMoreOnLink</v>
    </spb>
    <spb s="3">
      <v>0</v>
      <v>0</v>
      <v>0</v>
    </spb>
    <spb s="4">
      <v>0</v>
      <v>0</v>
    </spb>
    <spb s="5">
      <v>5</v>
      <v>5</v>
      <v>6</v>
      <v>5</v>
    </spb>
    <spb s="6">
      <v>1</v>
      <v>2</v>
    </spb>
    <spb s="7">
      <v>https://www.bing.com</v>
      <v>https://www.bing.com/th?id=Ga%5Cbing_yt.png&amp;w=100&amp;h=40&amp;c=0&amp;pid=0.1</v>
      <v>Powered by Bing</v>
    </spb>
    <spb s="8">
      <v>square km</v>
      <v>2020</v>
    </spb>
    <spb s="9">
      <v>3</v>
    </spb>
    <spb s="9">
      <v>4</v>
    </spb>
    <spb s="0">
      <v xml:space="preserve">data.worldbank.org	</v>
      <v xml:space="preserve">	</v>
      <v xml:space="preserve">http://data.worldbank.org/indicator/FP.CPI.TOTL	</v>
      <v xml:space="preserve">	</v>
    </spb>
    <spb s="0">
      <v xml:space="preserve">Wikipedia	Cia	travel.state.gov	</v>
      <v xml:space="preserve">CC-BY-SA			</v>
      <v xml:space="preserve">http://en.wikipedia.org/wiki/Germany	https://www.cia.gov/library/publications/the-world-factbook/geos/gm.html?Transportation	https://travel.state.gov/content/travel/en/international-travel/International-Travel-Country-Information-Pages/Germany.html	</v>
      <v xml:space="preserve">http://creativecommons.org/licenses/by-sa/3.0/			</v>
    </spb>
    <spb s="0">
      <v xml:space="preserve">Wikipedia	Cia	</v>
      <v xml:space="preserve">CC-BY-SA		</v>
      <v xml:space="preserve">http://en.wikipedia.org/wiki/Germany	https://www.cia.gov/library/publications/the-world-factbook/geos/gm.html?Transportation	</v>
      <v xml:space="preserve">http://creativecommons.org/licenses/by-sa/3.0/		</v>
    </spb>
    <spb s="0">
      <v xml:space="preserve">Wikipedia	Wikipedia	Cia	ec.europa.eu	travel.state.gov	Sec	</v>
      <v xml:space="preserve">CC-BY-SA	CC-BY-SA					</v>
      <v xml:space="preserve">http://en.wikipedia.org/wiki/Germany	https://en.wikipedia.org/wiki/Germany	https://www.cia.gov/library/publications/the-world-factbook/geos/gm.html?Transportation	https://ec.europa.eu/CensusHub2/query.do?step=selectHyperCube&amp;qhc=false	https://travel.state.gov/content/travel/en/international-travel/International-Travel-Country-Information-Pages/Germany.html	https://www.sec.gov/cgi-bin/browse-edgar?action=getcompany&amp;CIK=0001902682	</v>
      <v xml:space="preserve">http://creativecommons.org/licenses/by-sa/3.0/	http://creativecommons.org/licenses/by-sa/3.0/					</v>
    </spb>
    <spb s="0">
      <v xml:space="preserve">data.worldbank.org	</v>
      <v xml:space="preserve">	</v>
      <v xml:space="preserve">http://data.worldbank.org/indicator/SP.DYN.CBRT.IN	</v>
      <v xml:space="preserve">	</v>
    </spb>
    <spb s="0">
      <v xml:space="preserve">data.worldbank.org	</v>
      <v xml:space="preserve">	</v>
      <v xml:space="preserve">http://data.worldbank.org/indicator/SP.POP.TOTL	</v>
      <v xml:space="preserve">	</v>
    </spb>
    <spb s="0">
      <v xml:space="preserve">Wikipedia	</v>
      <v xml:space="preserve">CC-BY-SA	</v>
      <v xml:space="preserve">http://en.wikipedia.org/wiki/Germany	</v>
      <v xml:space="preserve">http://creativecommons.org/licenses/by-sa/3.0/	</v>
    </spb>
    <spb s="0">
      <v xml:space="preserve">Wikipedia	Wikipedia	Wikidata	Cia	ec.europa.eu	travel.state.gov	Sec	</v>
      <v xml:space="preserve">CC-BY-SA	CC-BY-SA						</v>
      <v xml:space="preserve">http://en.wikipedia.org/wiki/Germany	http://fr.wikipedia.org/wiki/Allemagne	https://www.wikidata.org/wiki/Q183	https://www.cia.gov/library/publications/the-world-factbook/geos/gm.html?Transportation	https://ec.europa.eu/CensusHub2/query.do?step=selectHyperCube&amp;qhc=false	https://travel.state.gov/content/travel/en/international-travel/International-Travel-Country-Information-Pages/Germany.html	https://www.sec.gov/cgi-bin/browse-edgar?action=getcompany&amp;CIK=0001902682	</v>
      <v xml:space="preserve">http://creativecommons.org/licenses/by-sa/3.0/	http://creativecommons.org/licenses/by-sa/3.0/						</v>
    </spb>
    <spb s="0">
      <v xml:space="preserve">travel.state.gov	</v>
      <v xml:space="preserve">	</v>
      <v xml:space="preserve">https://travel.state.gov/content/travel/en/international-travel/International-Travel-Country-Information-Pages/Germany.html	</v>
      <v xml:space="preserve">	</v>
    </spb>
    <spb s="0">
      <v xml:space="preserve">Cia	</v>
      <v xml:space="preserve">	</v>
      <v xml:space="preserve">https://www.cia.gov/library/publications/the-world-factbook/geos/gm.html?Transportation	</v>
      <v xml:space="preserve">	</v>
    </spb>
    <spb s="0">
      <v xml:space="preserve">data.worldbank.org	</v>
      <v xml:space="preserve">	</v>
      <v xml:space="preserve">http://data.worldbank.org/indicator/SP.DYN.TFRT.IN	</v>
      <v xml:space="preserve">	</v>
    </spb>
    <spb s="0">
      <v xml:space="preserve">data.worldbank.org	</v>
      <v xml:space="preserve">	</v>
      <v xml:space="preserve">http://data.worldbank.org/indicator/SP.DYN.LE00.IN	</v>
      <v xml:space="preserve">	</v>
    </spb>
    <spb s="0">
      <v xml:space="preserve">data.worldbank.org	</v>
      <v xml:space="preserve">	</v>
      <v xml:space="preserve">http://data.worldbank.org/indicator/SP.DYN.IMRT.IN	</v>
      <v xml:space="preserve">	</v>
    </spb>
    <spb s="0">
      <v xml:space="preserve">data.worldbank.org	</v>
      <v xml:space="preserve">	</v>
      <v xml:space="preserve">http://data.worldbank.org/indicator/SP.URB.TOTL	</v>
      <v xml:space="preserve">	</v>
    </spb>
    <spb s="0">
      <v xml:space="preserve">data.worldbank.org	</v>
      <v xml:space="preserve">	</v>
      <v xml:space="preserve">http://data.worldbank.org/indicator/MS.MIL.TOTL.P1	</v>
      <v xml:space="preserve">	</v>
    </spb>
    <spb s="0">
      <v xml:space="preserve">data.worldbank.org	</v>
      <v xml:space="preserve">	</v>
      <v xml:space="preserve">http://data.worldbank.org/indicator/SH.MED.PHYS.ZS	</v>
      <v xml:space="preserve">	</v>
    </spb>
    <spb s="0">
      <v xml:space="preserve">data.worldbank.org	</v>
      <v xml:space="preserve">	</v>
      <v xml:space="preserve">http://data.worldbank.org/indicator/EN.ATM.CO2E.KT	</v>
      <v xml:space="preserve">	</v>
    </spb>
    <spb s="0">
      <v xml:space="preserve">data.worldbank.org	</v>
      <v xml:space="preserve">	</v>
      <v xml:space="preserve">http://data.worldbank.org/indicator/SH.STA.MMRT	</v>
      <v xml:space="preserve">	</v>
    </spb>
    <spb s="0">
      <v xml:space="preserve">data.worldbank.org	</v>
      <v xml:space="preserve">	</v>
      <v xml:space="preserve">http://data.worldbank.org/indicator/EG.USE.ELEC.KH.PC	</v>
      <v xml:space="preserve">	</v>
    </spb>
    <spb s="0">
      <v xml:space="preserve">data.worldbank.org	</v>
      <v xml:space="preserve">	</v>
      <v xml:space="preserve">http://data.worldbank.org/indicator/SL.TLF.CACT.ZS	</v>
      <v xml:space="preserve">	</v>
    </spb>
    <spb s="10">
      <v>13</v>
      <v>14</v>
      <v>15</v>
      <v>16</v>
      <v>17</v>
      <v>18</v>
      <v>16</v>
      <v>19</v>
      <v>19</v>
      <v>15</v>
      <v>20</v>
      <v>19</v>
      <v>19</v>
      <v>21</v>
      <v>22</v>
      <v>23</v>
      <v>14</v>
      <v>22</v>
      <v>24</v>
      <v>19</v>
      <v>22</v>
      <v>25</v>
      <v>26</v>
      <v>27</v>
      <v>22</v>
      <v>22</v>
      <v>20</v>
      <v>22</v>
      <v>28</v>
      <v>29</v>
      <v>30</v>
      <v>31</v>
      <v>22</v>
      <v>14</v>
      <v>22</v>
      <v>22</v>
      <v>22</v>
      <v>22</v>
      <v>22</v>
      <v>22</v>
      <v>22</v>
      <v>22</v>
      <v>22</v>
      <v>22</v>
      <v>32</v>
    </spb>
    <spb s="2">
      <v>1</v>
      <v>Name</v>
      <v>LearnMoreOnLink</v>
    </spb>
    <spb s="11">
      <v>1</v>
      <v>5</v>
      <v>2</v>
    </spb>
    <spb s="12">
      <v>2019</v>
      <v>2019</v>
      <v>square km</v>
      <v>per thousand (2018)</v>
      <v>2019</v>
      <v>2019</v>
      <v>2018</v>
      <v>per liter (2016)</v>
      <v>2019</v>
      <v>years (2018)</v>
      <v>2018</v>
      <v>per thousand (2018)</v>
      <v>2019</v>
      <v>2017</v>
      <v>2016</v>
      <v>2019</v>
      <v>2016</v>
      <v>2017</v>
      <v>kilotons per year (2016)</v>
      <v>deaths per 100,000 (2017)</v>
      <v>kWh (2014)</v>
      <v>2015</v>
      <v>2019</v>
      <v>2016</v>
      <v>2016</v>
      <v>2016</v>
      <v>2016</v>
      <v>2016</v>
      <v>2015</v>
      <v>2016</v>
      <v>2016</v>
      <v>2017</v>
      <v>2017</v>
      <v>2019</v>
    </spb>
    <spb s="9">
      <v>6</v>
    </spb>
    <spb s="9">
      <v>7</v>
    </spb>
    <spb s="9">
      <v>8</v>
    </spb>
    <spb s="9">
      <v>9</v>
    </spb>
    <spb s="9">
      <v>10</v>
    </spb>
    <spb s="9">
      <v>11</v>
    </spb>
    <spb s="9">
      <v>12</v>
    </spb>
    <spb s="0">
      <v xml:space="preserve">Wikipedia	</v>
      <v xml:space="preserve">Public domain	</v>
      <v xml:space="preserve">http://en.wikipedia.org/wiki/Germany	</v>
      <v xml:space="preserve">http://en.wikipedia.org/wiki/Public_domain	</v>
    </spb>
    <spb s="9">
      <v>13</v>
    </spb>
    <spb s="0">
      <v xml:space="preserve">Wikipedia	</v>
      <v xml:space="preserve">CC-BY-SA	</v>
      <v xml:space="preserve">http://en.wikipedia.org/wiki/Chennai	</v>
      <v xml:space="preserve">http://creativecommons.org/licenses/by-sa/3.0/	</v>
    </spb>
    <spb s="0">
      <v xml:space="preserve">Wikipedia	Sec	</v>
      <v xml:space="preserve">CC-BY-SA		</v>
      <v xml:space="preserve">http://en.wikipedia.org/wiki/Chennai	https://www.sec.gov/cgi-bin/browse-edgar?action=getcompany&amp;CIK=0001703625	</v>
      <v xml:space="preserve">http://creativecommons.org/licenses/by-sa/3.0/		</v>
    </spb>
    <spb s="0">
      <v xml:space="preserve">Wikipedia	Wikipedia	Wikipedia	Sec	</v>
      <v xml:space="preserve">CC-BY-SA	CC-BY-SA	CC-BY-SA		</v>
      <v xml:space="preserve">http://en.wikipedia.org/wiki/Chennai	http://en.wikipedia.org/wiki/Chennai_city	https://en.wikipedia.org/wiki/Chennai	https://www.sec.gov/cgi-bin/browse-edgar?action=getcompany&amp;CIK=0001703625	</v>
      <v xml:space="preserve">http://creativecommons.org/licenses/by-sa/3.0/	http://creativecommons.org/licenses/by-sa/3.0/	http://creativecommons.org/licenses/by-sa/3.0/		</v>
    </spb>
    <spb s="0">
      <v xml:space="preserve">Wikipedia	Wikipedia	Wikipedia	</v>
      <v xml:space="preserve">CC-BY-SA	CC-BY-SA	CC-BY-SA	</v>
      <v xml:space="preserve">http://en.wikipedia.org/wiki/Chennai	http://es.wikipedia.org/wiki/Chennai	https://en.wikipedia.org/wiki/Chennai	</v>
      <v xml:space="preserve">http://creativecommons.org/licenses/by-sa/3.0/	http://creativecommons.org/licenses/by-sa/3.0/	http://creativecommons.org/licenses/by-sa/3.0/	</v>
    </spb>
    <spb s="13">
      <v>46</v>
      <v>47</v>
      <v>46</v>
      <v>47</v>
      <v>46</v>
      <v>48</v>
      <v>49</v>
      <v>46</v>
    </spb>
    <spb s="2">
      <v>2</v>
      <v>Name</v>
      <v>LearnMoreOnLink</v>
    </spb>
    <spb s="8">
      <v>square km</v>
      <v>2011</v>
    </spb>
    <spb s="0">
      <v xml:space="preserve">Wikipedia	travel.state.gov	</v>
      <v xml:space="preserve">CC-BY-SA		</v>
      <v xml:space="preserve">http://en.wikipedia.org/wiki/India	https://travel.state.gov/content/travel/en/international-travel/International-Travel-Country-Information-Pages/India.html	</v>
      <v xml:space="preserve">http://creativecommons.org/licenses/by-sa/3.0/		</v>
    </spb>
    <spb s="0">
      <v xml:space="preserve">Wikipedia	Wikipedia	Wikipedia	Cia	</v>
      <v xml:space="preserve">CC-BY-SA	CC-BY-SA	CC-BY-SA		</v>
      <v xml:space="preserve">http://en.wikipedia.org/wiki/India	http://es.wikipedia.org/wiki/India	http://fr.wikipedia.org/wiki/Inde	https://www.cia.gov/library/publications/the-world-factbook/geos/in.html?Transportation	</v>
      <v xml:space="preserve">http://creativecommons.org/licenses/by-sa/3.0/	http://creativecommons.org/licenses/by-sa/3.0/	http://creativecommons.org/licenses/by-sa/3.0/		</v>
    </spb>
    <spb s="0">
      <v xml:space="preserve">Wikipedia	Cia	Wikipedia	travel.state.gov	Sec	</v>
      <v xml:space="preserve">CC-BY-SA		CC-BY-SA			</v>
      <v xml:space="preserve">http://en.wikipedia.org/wiki/India	https://www.cia.gov/library/publications/the-world-factbook/geos/in.html?Transportation	https://en.wikipedia.org/wiki/India	https://travel.state.gov/content/travel/en/international-travel/International-Travel-Country-Information-Pages/India.html	https://www.sec.gov/cgi-bin/browse-edgar?action=getcompany&amp;CIK=0001848763	</v>
      <v xml:space="preserve">http://creativecommons.org/licenses/by-sa/3.0/		http://creativecommons.org/licenses/by-sa/3.0/			</v>
    </spb>
    <spb s="0">
      <v xml:space="preserve">Wikipedia	</v>
      <v xml:space="preserve">CC-BY-SA	</v>
      <v xml:space="preserve">http://en.wikipedia.org/wiki/India	</v>
      <v xml:space="preserve">http://creativecommons.org/licenses/by-sa/3.0/	</v>
    </spb>
    <spb s="0">
      <v xml:space="preserve">Wikipedia	Cia	</v>
      <v xml:space="preserve">CC-BY-SA		</v>
      <v xml:space="preserve">http://en.wikipedia.org/wiki/India	https://www.cia.gov/library/publications/the-world-factbook/geos/in.html?Transportation	</v>
      <v xml:space="preserve">http://creativecommons.org/licenses/by-sa/3.0/		</v>
    </spb>
    <spb s="0">
      <v xml:space="preserve">Cia	</v>
      <v xml:space="preserve">	</v>
      <v xml:space="preserve">https://www.cia.gov/library/publications/the-world-factbook/geos/in.html?Transportation	</v>
      <v xml:space="preserve">	</v>
    </spb>
    <spb s="0">
      <v xml:space="preserve">Wikipedia	Cia	travel.state.gov	</v>
      <v xml:space="preserve">CC-BY-SA			</v>
      <v xml:space="preserve">http://en.wikipedia.org/wiki/India	https://www.cia.gov/library/publications/the-world-factbook/geos/in.html?Transportation	https://travel.state.gov/content/travel/en/international-travel/International-Travel-Country-Information-Pages/India.html	</v>
      <v xml:space="preserve">http://creativecommons.org/licenses/by-sa/3.0/			</v>
    </spb>
    <spb s="0">
      <v xml:space="preserve">Wikipedia	Wikipedia	Cia	travel.state.gov	Sec	</v>
      <v xml:space="preserve">CC-BY-SA	CC-BY-SA				</v>
      <v xml:space="preserve">http://en.wikipedia.org/wiki/India	http://fr.wikipedia.org/wiki/Inde	https://www.cia.gov/library/publications/the-world-factbook/geos/in.html?Transportation	https://travel.state.gov/content/travel/en/international-travel/International-Travel-Country-Information-Pages/India.html	https://www.sec.gov/cgi-bin/browse-edgar?action=getcompany&amp;CIK=0001848763	</v>
      <v xml:space="preserve">http://creativecommons.org/licenses/by-sa/3.0/	http://creativecommons.org/licenses/by-sa/3.0/				</v>
    </spb>
    <spb s="14">
      <v>13</v>
      <v>53</v>
      <v>54</v>
      <v>55</v>
      <v>17</v>
      <v>18</v>
      <v>55</v>
      <v>56</v>
      <v>56</v>
      <v>57</v>
      <v>56</v>
      <v>56</v>
      <v>58</v>
      <v>23</v>
      <v>59</v>
      <v>58</v>
      <v>24</v>
      <v>56</v>
      <v>58</v>
      <v>25</v>
      <v>26</v>
      <v>27</v>
      <v>58</v>
      <v>58</v>
      <v>60</v>
      <v>58</v>
      <v>28</v>
      <v>29</v>
      <v>30</v>
      <v>31</v>
      <v>58</v>
      <v>59</v>
      <v>58</v>
      <v>58</v>
      <v>58</v>
      <v>58</v>
      <v>58</v>
      <v>58</v>
      <v>58</v>
      <v>58</v>
      <v>58</v>
      <v>58</v>
      <v>32</v>
    </spb>
    <spb s="12">
      <v>2019</v>
      <v>2017</v>
      <v>square km</v>
      <v>per thousand (2018)</v>
      <v>2019</v>
      <v>2019</v>
      <v>2018</v>
      <v>per liter (2016)</v>
      <v>2019</v>
      <v>years (2018)</v>
      <v>2017</v>
      <v>per thousand (2018)</v>
      <v>2019</v>
      <v>2017</v>
      <v>2016</v>
      <v>2019</v>
      <v>2016</v>
      <v>2018</v>
      <v>kilotons per year (2016)</v>
      <v>deaths per 100,000 (2017)</v>
      <v>kWh (2014)</v>
      <v>2014</v>
      <v>2019</v>
      <v>2011</v>
      <v>2011</v>
      <v>2011</v>
      <v>2011</v>
      <v>2011</v>
      <v>2015</v>
      <v>2011</v>
      <v>2011</v>
      <v>2017</v>
      <v>2018</v>
      <v>2019</v>
    </spb>
    <spb s="0">
      <v xml:space="preserve">Wikipedia	</v>
      <v xml:space="preserve">Public domain	</v>
      <v xml:space="preserve">http://en.wikipedia.org/wiki/India	</v>
      <v xml:space="preserve">http://en.wikipedia.org/wiki/Public_domain	</v>
    </spb>
    <spb s="0">
      <v xml:space="preserve">Wikipedia	</v>
      <v xml:space="preserve">CC-BY-SA	</v>
      <v xml:space="preserve">http://en.wikipedia.org/wiki/Bangkok	</v>
      <v xml:space="preserve">http://creativecommons.org/licenses/by-sa/3.0/	</v>
    </spb>
    <spb s="0">
      <v xml:space="preserve">Wikipedia	Sec	Weathertrends360	</v>
      <v xml:space="preserve">CC-BY-SA			</v>
      <v xml:space="preserve">http://en.wikipedia.org/wiki/Bangkok	https://www.sec.gov/cgi-bin/browse-edgar?action=getcompany&amp;CIK=0001816554	https://www.weathertrends360.com/	</v>
      <v xml:space="preserve">http://creativecommons.org/licenses/by-sa/3.0/			</v>
    </spb>
    <spb s="0">
      <v xml:space="preserve">Wikipedia	Wikipedia	Sec	</v>
      <v xml:space="preserve">CC-BY-SA	CC-BY-SA		</v>
      <v xml:space="preserve">http://en.wikipedia.org/wiki/Bangkok	https://en.wikipedia.org/wiki/Bangkok	https://www.sec.gov/cgi-bin/browse-edgar?action=getcompany&amp;CIK=0001816554	</v>
      <v xml:space="preserve">http://creativecommons.org/licenses/by-sa/3.0/	http://creativecommons.org/licenses/by-sa/3.0/		</v>
    </spb>
    <spb s="15">
      <v>64</v>
      <v>65</v>
      <v>64</v>
      <v>65</v>
      <v>64</v>
      <v>64</v>
      <v>66</v>
    </spb>
    <spb s="2">
      <v>3</v>
      <v>Name</v>
      <v>LearnMoreOnLink</v>
    </spb>
    <spb s="8">
      <v>square km</v>
      <v>2010</v>
    </spb>
    <spb s="0">
      <v xml:space="preserve">Wikipedia	Cia	travel.state.gov	</v>
      <v xml:space="preserve">CC-BY-SA			</v>
      <v xml:space="preserve">http://en.wikipedia.org/wiki/Thailand	https://www.cia.gov/library/publications/the-world-factbook/geos/th.html?Transportation	https://travel.state.gov/content/travel/en/international-travel/International-Travel-Country-Information-Pages/Thailand.html	</v>
      <v xml:space="preserve">http://creativecommons.org/licenses/by-sa/3.0/			</v>
    </spb>
    <spb s="0">
      <v xml:space="preserve">Wikipedia	Cia	</v>
      <v xml:space="preserve">CC-BY-SA		</v>
      <v xml:space="preserve">http://en.wikipedia.org/wiki/Thailand	https://www.cia.gov/library/publications/the-world-factbook/geos/th.html?Transportation	</v>
      <v xml:space="preserve">http://creativecommons.org/licenses/by-sa/3.0/		</v>
    </spb>
    <spb s="0">
      <v xml:space="preserve">Wikipedia	Cia	Wikipedia	travel.state.gov	Sec	Tasteatlas	</v>
      <v xml:space="preserve">CC-BY-SA		CC-BY-SA				</v>
      <v xml:space="preserve">http://en.wikipedia.org/wiki/Thailand	https://www.cia.gov/library/publications/the-world-factbook/geos/th.html?Transportation	https://en.wikipedia.org/wiki/Thailand	https://travel.state.gov/content/travel/en/international-travel/International-Travel-Country-Information-Pages/Thailand.html	https://www.sec.gov/cgi-bin/browse-edgar?action=getcompany&amp;CIK=0001816554	https://www.tasteatlas.com/thailand	</v>
      <v xml:space="preserve">http://creativecommons.org/licenses/by-sa/3.0/		http://creativecommons.org/licenses/by-sa/3.0/				</v>
    </spb>
    <spb s="0">
      <v xml:space="preserve">Wikipedia	</v>
      <v xml:space="preserve">CC-BY-SA	</v>
      <v xml:space="preserve">http://en.wikipedia.org/wiki/Thailand	</v>
      <v xml:space="preserve">http://creativecommons.org/licenses/by-sa/3.0/	</v>
    </spb>
    <spb s="0">
      <v xml:space="preserve">Wikipedia	Cia	travel.state.gov	Sec	</v>
      <v xml:space="preserve">CC-BY-SA				</v>
      <v xml:space="preserve">http://en.wikipedia.org/wiki/Thailand	https://www.cia.gov/library/publications/the-world-factbook/geos/th.html?Transportation	https://travel.state.gov/content/travel/en/international-travel/International-Travel-Country-Information-Pages/Thailand.html	https://www.sec.gov/cgi-bin/browse-edgar?action=getcompany&amp;CIK=0001816554	</v>
      <v xml:space="preserve">http://creativecommons.org/licenses/by-sa/3.0/				</v>
    </spb>
    <spb s="0">
      <v xml:space="preserve">travel.state.gov	</v>
      <v xml:space="preserve">	</v>
      <v xml:space="preserve">https://travel.state.gov/content/travel/en/international-travel/International-Travel-Country-Information-Pages/Thailand.html	</v>
      <v xml:space="preserve">	</v>
    </spb>
    <spb s="0">
      <v xml:space="preserve">Cia	</v>
      <v xml:space="preserve">	</v>
      <v xml:space="preserve">https://www.cia.gov/library/publications/the-world-factbook/geos/th.html?Transportation	</v>
      <v xml:space="preserve">	</v>
    </spb>
    <spb s="10">
      <v>13</v>
      <v>70</v>
      <v>71</v>
      <v>72</v>
      <v>17</v>
      <v>18</v>
      <v>72</v>
      <v>73</v>
      <v>73</v>
      <v>71</v>
      <v>74</v>
      <v>73</v>
      <v>73</v>
      <v>75</v>
      <v>76</v>
      <v>23</v>
      <v>70</v>
      <v>76</v>
      <v>24</v>
      <v>73</v>
      <v>76</v>
      <v>25</v>
      <v>26</v>
      <v>27</v>
      <v>76</v>
      <v>76</v>
      <v>74</v>
      <v>76</v>
      <v>28</v>
      <v>29</v>
      <v>30</v>
      <v>31</v>
      <v>76</v>
      <v>70</v>
      <v>76</v>
      <v>76</v>
      <v>76</v>
      <v>76</v>
      <v>76</v>
      <v>76</v>
      <v>76</v>
      <v>76</v>
      <v>76</v>
      <v>76</v>
      <v>32</v>
    </spb>
    <spb s="2">
      <v>4</v>
      <v>Name</v>
      <v>LearnMoreOnLink</v>
    </spb>
    <spb s="12">
      <v>2019</v>
      <v>2019</v>
      <v>square km</v>
      <v>per thousand (2018)</v>
      <v>2019</v>
      <v>2019</v>
      <v>2018</v>
      <v>per liter (2016)</v>
      <v>2019</v>
      <v>years (2018)</v>
      <v>2018</v>
      <v>per thousand (2018)</v>
      <v>2019</v>
      <v>2017</v>
      <v>2016</v>
      <v>2019</v>
      <v>2016</v>
      <v>2018</v>
      <v>kilotons per year (2016)</v>
      <v>deaths per 100,000 (2017)</v>
      <v>kWh (2014)</v>
      <v>2014</v>
      <v>2019</v>
      <v>2018</v>
      <v>2018</v>
      <v>2018</v>
      <v>2018</v>
      <v>2018</v>
      <v>2015</v>
      <v>2018</v>
      <v>2018</v>
      <v>2018</v>
      <v>2016</v>
      <v>2019</v>
    </spb>
    <spb s="0">
      <v xml:space="preserve">Wikipedia	</v>
      <v xml:space="preserve">CC-BY-SA	</v>
      <v xml:space="preserve">http://en.wikipedia.org/wiki/Dalian	</v>
      <v xml:space="preserve">http://creativecommons.org/licenses/by-sa/3.0/	</v>
    </spb>
    <spb s="0">
      <v xml:space="preserve">Wikipedia	Wikipedia	Sec	Weathertrends360	</v>
      <v xml:space="preserve">CC-BY-SA	CC-BY-SA			</v>
      <v xml:space="preserve">http://en.wikipedia.org/wiki/Dalian	https://en.wikipedia.org/wiki/Dalian	https://www.sec.gov/cgi-bin/browse-edgar?action=getcompany&amp;CIK=0001117171	https://www.weathertrends360.com/	</v>
      <v xml:space="preserve">http://creativecommons.org/licenses/by-sa/3.0/	http://creativecommons.org/licenses/by-sa/3.0/			</v>
    </spb>
    <spb s="0">
      <v xml:space="preserve">Wikipedia	Wikipedia	Wikipedia	Sec	</v>
      <v xml:space="preserve">CC-BY-SA	CC-BY-SA	CC-BY-SA		</v>
      <v xml:space="preserve">http://en.wikipedia.org/wiki/Dalian	http://sv.wikipedia.org/wiki/Dalian_Shi_(prefektur_i_Kina)	https://en.wikipedia.org/wiki/Dalian	https://www.sec.gov/cgi-bin/browse-edgar?action=getcompany&amp;CIK=0001117171	</v>
      <v xml:space="preserve">http://creativecommons.org/licenses/by-sa/3.0/	http://creativecommons.org/licenses/by-sa/3.0/	http://creativecommons.org/licenses/by-sa/3.0/		</v>
    </spb>
    <spb s="0">
      <v xml:space="preserve">Wikipedia	Wikipedia	Wikipedia	</v>
      <v xml:space="preserve">CC-BY-SA	CC-BY-SA	CC-BY-SA	</v>
      <v xml:space="preserve">http://en.wikipedia.org/wiki/Dalian	http://es.wikipedia.org/wiki/Dalian	https://en.wikipedia.org/wiki/Dalian	</v>
      <v xml:space="preserve">http://creativecommons.org/licenses/by-sa/3.0/	http://creativecommons.org/licenses/by-sa/3.0/	http://creativecommons.org/licenses/by-sa/3.0/	</v>
    </spb>
    <spb s="16">
      <v>80</v>
      <v>81</v>
      <v>80</v>
      <v>80</v>
      <v>80</v>
      <v>81</v>
      <v>80</v>
      <v>82</v>
      <v>83</v>
    </spb>
    <spb s="2">
      <v>5</v>
      <v>Name</v>
      <v>LearnMoreOnLink</v>
    </spb>
    <spb s="0">
      <v xml:space="preserve">Wikipedia	travel.state.gov	</v>
      <v xml:space="preserve">CC-BY-SA		</v>
      <v xml:space="preserve">http://en.wikipedia.org/wiki/China	https://travel.state.gov/content/travel/en/international-travel/International-Travel-Country-Information-Pages/China.html	</v>
      <v xml:space="preserve">http://creativecommons.org/licenses/by-sa/3.0/		</v>
    </spb>
    <spb s="0">
      <v xml:space="preserve">Cia	</v>
      <v xml:space="preserve">	</v>
      <v xml:space="preserve">https://www.cia.gov/library/publications/the-world-factbook/geos/ch.html?Transportation	</v>
      <v xml:space="preserve">	</v>
    </spb>
    <spb s="0">
      <v xml:space="preserve">Wikipedia	Wikipedia	Wikidata	Cia	travel.state.gov	Sec	</v>
      <v xml:space="preserve">CC-BY-SA	CC-BY-SA					</v>
      <v xml:space="preserve">http://en.wikipedia.org/wiki/China	https://en.wikipedia.org/wiki/China	https://www.wikidata.org/wiki/Q29520	https://www.cia.gov/library/publications/the-world-factbook/geos/ch.html?Transportation	https://travel.state.gov/content/travel/en/international-travel/International-Travel-Country-Information-Pages/China.html	https://www.sec.gov/cgi-bin/browse-edgar?action=getcompany&amp;CIK=0001935070	</v>
      <v xml:space="preserve">http://creativecommons.org/licenses/by-sa/3.0/	http://creativecommons.org/licenses/by-sa/3.0/					</v>
    </spb>
    <spb s="0">
      <v xml:space="preserve">Wikipedia	</v>
      <v xml:space="preserve">CC-BY-SA	</v>
      <v xml:space="preserve">http://en.wikipedia.org/wiki/China	</v>
      <v xml:space="preserve">http://creativecommons.org/licenses/by-sa/3.0/	</v>
    </spb>
    <spb s="0">
      <v xml:space="preserve">Wikipedia	Cia	</v>
      <v xml:space="preserve">CC-BY-SA		</v>
      <v xml:space="preserve">http://en.wikipedia.org/wiki/China	https://www.cia.gov/library/publications/the-world-factbook/geos/ch.html?Transportation	</v>
      <v xml:space="preserve">http://creativecommons.org/licenses/by-sa/3.0/		</v>
    </spb>
    <spb s="0">
      <v xml:space="preserve">Wikipedia	Wikipedia	travel.state.gov	Sec	</v>
      <v xml:space="preserve">CC-BY-SA	CC-BY-SA			</v>
      <v xml:space="preserve">http://en.wikipedia.org/wiki/China	https://en.wikipedia.org/wiki/China	https://travel.state.gov/content/travel/en/international-travel/International-Travel-Country-Information-Pages/China.html	https://www.sec.gov/cgi-bin/browse-edgar?action=getcompany&amp;CIK=0001935070	</v>
      <v xml:space="preserve">http://creativecommons.org/licenses/by-sa/3.0/	http://creativecommons.org/licenses/by-sa/3.0/			</v>
    </spb>
    <spb s="0">
      <v xml:space="preserve">travel.state.gov	</v>
      <v xml:space="preserve">	</v>
      <v xml:space="preserve">https://travel.state.gov/content/travel/en/international-travel/International-Travel-Country-Information-Pages/China.html	</v>
      <v xml:space="preserve">	</v>
    </spb>
    <spb s="0">
      <v xml:space="preserve">Wikipedia	Cia	travel.state.gov	</v>
      <v xml:space="preserve">CC-BY-SA			</v>
      <v xml:space="preserve">http://en.wikipedia.org/wiki/China	https://www.cia.gov/library/publications/the-world-factbook/geos/ch.html?Transportation	https://travel.state.gov/content/travel/en/international-travel/International-Travel-Country-Information-Pages/China.html	</v>
      <v xml:space="preserve">http://creativecommons.org/licenses/by-sa/3.0/			</v>
    </spb>
    <spb s="0">
      <v xml:space="preserve">Wikipedia	Cia	travel.state.gov	Sec	</v>
      <v xml:space="preserve">CC-BY-SA				</v>
      <v xml:space="preserve">http://en.wikipedia.org/wiki/China	https://www.cia.gov/library/publications/the-world-factbook/geos/ch.html?Transportation	https://travel.state.gov/content/travel/en/international-travel/International-Travel-Country-Information-Pages/China.html	https://www.sec.gov/cgi-bin/browse-edgar?action=getcompany&amp;CIK=0001935070	</v>
      <v xml:space="preserve">http://creativecommons.org/licenses/by-sa/3.0/				</v>
    </spb>
    <spb s="17">
      <v>13</v>
      <v>86</v>
      <v>87</v>
      <v>88</v>
      <v>17</v>
      <v>18</v>
      <v>88</v>
      <v>89</v>
      <v>89</v>
      <v>90</v>
      <v>91</v>
      <v>89</v>
      <v>89</v>
      <v>92</v>
      <v>87</v>
      <v>23</v>
      <v>93</v>
      <v>87</v>
      <v>89</v>
      <v>87</v>
      <v>25</v>
      <v>26</v>
      <v>27</v>
      <v>87</v>
      <v>87</v>
      <v>94</v>
      <v>87</v>
      <v>28</v>
      <v>29</v>
      <v>30</v>
      <v>31</v>
      <v>87</v>
      <v>93</v>
      <v>87</v>
      <v>87</v>
      <v>87</v>
      <v>87</v>
      <v>87</v>
      <v>87</v>
      <v>87</v>
      <v>87</v>
      <v>87</v>
      <v>87</v>
      <v>32</v>
    </spb>
    <spb s="12">
      <v>2019</v>
      <v>2022</v>
      <v>square km</v>
      <v>per thousand (2018)</v>
      <v>2019</v>
      <v>2019</v>
      <v>2018</v>
      <v>per liter (2016)</v>
      <v>2019</v>
      <v>years (2020)</v>
      <v>2017</v>
      <v>per thousand (2018)</v>
      <v>2019</v>
      <v>2017</v>
      <v>2016</v>
      <v>2019</v>
      <v>2016</v>
      <v>2017</v>
      <v>kilotons per year (2016)</v>
      <v>deaths per 100,000 (2017)</v>
      <v>kWh (2014)</v>
      <v>2014</v>
      <v>2019</v>
      <v>2016</v>
      <v>2016</v>
      <v>2016</v>
      <v>2016</v>
      <v>2016</v>
      <v>2015</v>
      <v>2016</v>
      <v>2016</v>
      <v>2018</v>
      <v>2018</v>
      <v>2019</v>
    </spb>
    <spb s="0">
      <v xml:space="preserve">Wikipedia	</v>
      <v xml:space="preserve">CC BY-SA 4.0	</v>
      <v xml:space="preserve">http://ko.wikipedia.org/wiki/중화인민공화국	</v>
      <v xml:space="preserve">https://creativecommons.org/licenses/by-sa/4.0	</v>
    </spb>
    <spb s="0">
      <v xml:space="preserve">Wikipedia	Cia	travel.state.gov	</v>
      <v xml:space="preserve">CC-BY-SA			</v>
      <v xml:space="preserve">http://en.wikipedia.org/wiki/Hong_Kong	https://www.cia.gov/library/publications/the-world-factbook/geos/hk.html?Transportation	https://travel.state.gov/content/travel/en/international-travel/International-Travel-Country-Information-Pages/HongKong.html	</v>
      <v xml:space="preserve">http://creativecommons.org/licenses/by-sa/3.0/			</v>
    </spb>
    <spb s="0">
      <v xml:space="preserve">Cia	</v>
      <v xml:space="preserve">	</v>
      <v xml:space="preserve">https://www.cia.gov/library/publications/the-world-factbook/geos/hk.html?Transportation	</v>
      <v xml:space="preserve">	</v>
    </spb>
    <spb s="0">
      <v xml:space="preserve">Wikipedia	Cia	Wikipedia	travel.state.gov	Sec	</v>
      <v xml:space="preserve">CC-BY-SA		CC-BY-SA			</v>
      <v xml:space="preserve">http://en.wikipedia.org/wiki/Hong_Kong	https://www.cia.gov/library/publications/the-world-factbook/geos/hk.html?Transportation	https://en.wikipedia.org/wiki/Hong_Kong	https://travel.state.gov/content/travel/en/international-travel/International-Travel-Country-Information-Pages/HongKong.html	https://www.sec.gov/cgi-bin/browse-edgar?action=getcompany&amp;CIK=0001932489	</v>
      <v xml:space="preserve">http://creativecommons.org/licenses/by-sa/3.0/		http://creativecommons.org/licenses/by-sa/3.0/			</v>
    </spb>
    <spb s="0">
      <v xml:space="preserve">Wikipedia	</v>
      <v xml:space="preserve">CC-BY-SA	</v>
      <v xml:space="preserve">http://en.wikipedia.org/wiki/Hong_Kong	</v>
      <v xml:space="preserve">http://creativecommons.org/licenses/by-sa/3.0/	</v>
    </spb>
    <spb s="0">
      <v xml:space="preserve">Wikipedia	Cia	</v>
      <v xml:space="preserve">CC-BY-SA		</v>
      <v xml:space="preserve">http://en.wikipedia.org/wiki/Hong_Kong	https://www.cia.gov/library/publications/the-world-factbook/geos/hk.html?Transportation	</v>
      <v xml:space="preserve">http://creativecommons.org/licenses/by-sa/3.0/		</v>
    </spb>
    <spb s="0">
      <v xml:space="preserve">travel.state.gov	</v>
      <v xml:space="preserve">	</v>
      <v xml:space="preserve">https://travel.state.gov/content/travel/en/international-travel/International-Travel-Country-Information-Pages/HongKong.html	</v>
      <v xml:space="preserve">	</v>
    </spb>
    <spb s="18">
      <v>13</v>
      <v>98</v>
      <v>99</v>
      <v>100</v>
      <v>17</v>
      <v>18</v>
      <v>100</v>
      <v>101</v>
      <v>101</v>
      <v>102</v>
      <v>101</v>
      <v>103</v>
      <v>99</v>
      <v>23</v>
      <v>98</v>
      <v>99</v>
      <v>24</v>
      <v>101</v>
      <v>26</v>
      <v>99</v>
      <v>101</v>
      <v>99</v>
      <v>28</v>
      <v>29</v>
      <v>31</v>
      <v>99</v>
      <v>98</v>
      <v>99</v>
      <v>99</v>
      <v>32</v>
    </spb>
    <spb s="2">
      <v>6</v>
      <v>Name</v>
      <v>LearnMoreOnLink</v>
    </spb>
    <spb s="19">
      <v>2019</v>
      <v>2019</v>
      <v>square km</v>
      <v>per thousand (2018)</v>
      <v>2019</v>
      <v>2019</v>
      <v>2018</v>
      <v>per liter (2016)</v>
      <v>2019</v>
      <v>years (2018)</v>
      <v>2019</v>
      <v>2019</v>
      <v>2016</v>
      <v>1995</v>
      <v>kilotons per year (2016)</v>
      <v>kWh (2014)</v>
      <v>2014</v>
      <v>2019</v>
      <v>2018</v>
      <v>2018</v>
      <v>2019</v>
    </spb>
    <spb s="0">
      <v xml:space="preserve">Wikipedia	</v>
      <v xml:space="preserve">CC-BY-SA	</v>
      <v xml:space="preserve">http://en.wikipedia.org/wiki/Tampico	</v>
      <v xml:space="preserve">http://creativecommons.org/licenses/by-sa/3.0/	</v>
    </spb>
    <spb s="0">
      <v xml:space="preserve">Wikipedia	Weathertrends360	</v>
      <v xml:space="preserve">CC-BY-SA		</v>
      <v xml:space="preserve">http://en.wikipedia.org/wiki/Tampico	https://www.weathertrends360.com/	</v>
      <v xml:space="preserve">http://creativecommons.org/licenses/by-sa/3.0/		</v>
    </spb>
    <spb s="0">
      <v xml:space="preserve">Wikipedia	Wikipedia	</v>
      <v xml:space="preserve">CC-BY-SA	CC-BY-SA	</v>
      <v xml:space="preserve">http://en.wikipedia.org/wiki/Tampico	https://en.wikipedia.org/wiki/Tampico	</v>
      <v xml:space="preserve">http://creativecommons.org/licenses/by-sa/3.0/	http://creativecommons.org/licenses/by-sa/3.0/	</v>
    </spb>
    <spb s="20">
      <v>107</v>
      <v>108</v>
      <v>107</v>
      <v>108</v>
      <v>107</v>
      <v>109</v>
      <v>109</v>
    </spb>
    <spb s="2">
      <v>7</v>
      <v>Name</v>
      <v>LearnMoreOnLink</v>
    </spb>
    <spb s="8">
      <v>square km</v>
      <v>2015</v>
    </spb>
    <spb s="0">
      <v xml:space="preserve">Wikipedia	</v>
      <v xml:space="preserve">Public domain	</v>
      <v xml:space="preserve">http://fr.wikipedia.org/wiki/Tampico	</v>
      <v xml:space="preserve">http://en.wikipedia.org/wiki/Public_domain	</v>
    </spb>
    <spb s="0">
      <v xml:space="preserve">Wikipedia	Cia	travel.state.gov	</v>
      <v xml:space="preserve">CC-BY-SA			</v>
      <v xml:space="preserve">http://en.wikipedia.org/wiki/Mexico	https://www.cia.gov/library/publications/the-world-factbook/geos/mx.html?Transportation	https://travel.state.gov/content/travel/en/international-travel/International-Travel-Country-Information-Pages/Mexico.html	</v>
      <v xml:space="preserve">http://creativecommons.org/licenses/by-sa/3.0/			</v>
    </spb>
    <spb s="0">
      <v xml:space="preserve">Wikipedia	Cia	</v>
      <v xml:space="preserve">CC-BY-SA		</v>
      <v xml:space="preserve">http://fr.wikipedia.org/wiki/Mexique	https://www.cia.gov/library/publications/the-world-factbook/geos/mx.html?Transportation	</v>
      <v xml:space="preserve">http://creativecommons.org/licenses/by-sa/3.0/		</v>
    </spb>
    <spb s="0">
      <v xml:space="preserve">Wikipedia	Cia	beta.inegi.org.mx	Wikipedia	travel.state.gov	Sec	</v>
      <v xml:space="preserve">CC-BY-SA			CC-BY-SA			</v>
      <v xml:space="preserve">http://en.wikipedia.org/wiki/Mexico	https://www.cia.gov/library/publications/the-world-factbook/geos/mx.html?Transportation	http://www.beta.inegi.org.mx/contenidos/proyectos/ccpv/2010/tabulados/Basico/07_13B_ESTATAL.xls	https://en.wikipedia.org/wiki/Mexico	https://travel.state.gov/content/travel/en/international-travel/International-Travel-Country-Information-Pages/Mexico.html	https://www.sec.gov/cgi-bin/browse-edgar?action=getcompany&amp;CIK=0001913665	</v>
      <v xml:space="preserve">http://creativecommons.org/licenses/by-sa/3.0/			http://creativecommons.org/licenses/by-sa/3.0/			</v>
    </spb>
    <spb s="0">
      <v xml:space="preserve">Wikipedia	</v>
      <v xml:space="preserve">CC-BY-SA	</v>
      <v xml:space="preserve">http://en.wikipedia.org/wiki/Mexico	</v>
      <v xml:space="preserve">http://creativecommons.org/licenses/by-sa/3.0/	</v>
    </spb>
    <spb s="0">
      <v xml:space="preserve">Wikipedia	Cia	</v>
      <v xml:space="preserve">CC-BY-SA		</v>
      <v xml:space="preserve">http://en.wikipedia.org/wiki/Mexico	https://www.cia.gov/library/publications/the-world-factbook/geos/mx.html?Transportation	</v>
      <v xml:space="preserve">http://creativecommons.org/licenses/by-sa/3.0/		</v>
    </spb>
    <spb s="0">
      <v xml:space="preserve">Wikipedia	Wikipedia	beta.inegi.org.mx	travel.state.gov	Sec	</v>
      <v xml:space="preserve">CC-BY-SA	CC-BY-SA				</v>
      <v xml:space="preserve">http://en.wikipedia.org/wiki/Mexico	http://fr.wikipedia.org/wiki/Mexique	http://www.beta.inegi.org.mx/contenidos/proyectos/ccpv/2010/tabulados/Basico/07_13B_ESTATAL.xls	https://travel.state.gov/content/travel/en/international-travel/International-Travel-Country-Information-Pages/Mexico.html	https://www.sec.gov/cgi-bin/browse-edgar?action=getcompany&amp;CIK=0001913665	</v>
      <v xml:space="preserve">http://creativecommons.org/licenses/by-sa/3.0/	http://creativecommons.org/licenses/by-sa/3.0/				</v>
    </spb>
    <spb s="0">
      <v xml:space="preserve">Cia	</v>
      <v xml:space="preserve">	</v>
      <v xml:space="preserve">https://www.cia.gov/library/publications/the-world-factbook/geos/mx.html?Transportation	</v>
      <v xml:space="preserve">	</v>
    </spb>
    <spb s="0">
      <v xml:space="preserve">Wikipedia	Wikidata	</v>
      <v xml:space="preserve">CC-BY-SA		</v>
      <v xml:space="preserve">http://en.wikipedia.org/wiki/Mexico	https://www.wikidata.org/wiki/Q96	</v>
      <v xml:space="preserve">http://creativecommons.org/licenses/by-sa/3.0/		</v>
    </spb>
    <spb s="21">
      <v>13</v>
      <v>114</v>
      <v>115</v>
      <v>116</v>
      <v>17</v>
      <v>117</v>
      <v>116</v>
      <v>117</v>
      <v>117</v>
      <v>118</v>
      <v>119</v>
      <v>117</v>
      <v>117</v>
      <v>120</v>
      <v>23</v>
      <v>114</v>
      <v>120</v>
      <v>24</v>
      <v>121</v>
      <v>120</v>
      <v>25</v>
      <v>26</v>
      <v>27</v>
      <v>120</v>
      <v>120</v>
      <v>119</v>
      <v>120</v>
      <v>28</v>
      <v>29</v>
      <v>30</v>
      <v>31</v>
      <v>120</v>
      <v>114</v>
      <v>120</v>
      <v>120</v>
      <v>120</v>
      <v>120</v>
      <v>120</v>
      <v>120</v>
      <v>120</v>
      <v>120</v>
      <v>120</v>
      <v>120</v>
      <v>32</v>
    </spb>
    <spb s="2">
      <v>8</v>
      <v>Name</v>
      <v>LearnMoreOnLink</v>
    </spb>
    <spb s="12">
      <v>2019</v>
      <v>2019</v>
      <v>square km</v>
      <v>per thousand (2018)</v>
      <v>2020</v>
      <v>2019</v>
      <v>2018</v>
      <v>per liter (2016)</v>
      <v>2019</v>
      <v>years (2018)</v>
      <v>2018</v>
      <v>per thousand (2018)</v>
      <v>2019</v>
      <v>2017</v>
      <v>2016</v>
      <v>2019</v>
      <v>2016</v>
      <v>2017</v>
      <v>kilotons per year (2016)</v>
      <v>deaths per 100,000 (2017)</v>
      <v>kWh (2014)</v>
      <v>2015</v>
      <v>2019</v>
      <v>2018</v>
      <v>2018</v>
      <v>2018</v>
      <v>2018</v>
      <v>2018</v>
      <v>2015</v>
      <v>2018</v>
      <v>2018</v>
      <v>2017</v>
      <v>2017</v>
      <v>2019</v>
    </spb>
    <spb s="0">
      <v xml:space="preserve">Wikipedia	</v>
      <v xml:space="preserve">CC-BY-SA	</v>
      <v xml:space="preserve">http://en.wikipedia.org/wiki/Savannah,_Georgia	</v>
      <v xml:space="preserve">http://creativecommons.org/licenses/by-sa/3.0/	</v>
    </spb>
    <spb s="0">
      <v xml:space="preserve">Wikipedia	Wikipedia	Sec	</v>
      <v xml:space="preserve">CC-BY-SA	CC-BY-SA		</v>
      <v xml:space="preserve">http://en.wikipedia.org/wiki/Savannah,_Georgia	http://pt.wikipedia.org/wiki/Savannah	https://www.sec.gov/cgi-bin/browse-edgar?action=getcompany&amp;CIK=0001790837	</v>
      <v xml:space="preserve">http://creativecommons.org/licenses/by-sa/3.0/	http://creativecommons.org/licenses/by-sa/3.0/		</v>
    </spb>
    <spb s="0">
      <v xml:space="preserve">Wikipedia	Wikipedia	Sec	</v>
      <v xml:space="preserve">CC-BY-SA	CC-BY-SA		</v>
      <v xml:space="preserve">http://en.wikipedia.org/wiki/Savannah,_Georgia	https://en.wikipedia.org/wiki/Savannah,_Georgia	https://www.sec.gov/cgi-bin/browse-edgar?action=getcompany&amp;CIK=0001790837	</v>
      <v xml:space="preserve">http://creativecommons.org/licenses/by-sa/3.0/	http://creativecommons.org/licenses/by-sa/3.0/		</v>
    </spb>
    <spb s="22">
      <v>125</v>
      <v>126</v>
      <v>125</v>
      <v>125</v>
      <v>125</v>
      <v>126</v>
      <v>125</v>
      <v>127</v>
      <v>127</v>
      <v>125</v>
    </spb>
    <spb s="0">
      <v xml:space="preserve">Wikipedia	US Census	US Census	</v>
      <v xml:space="preserve">CC-BY-SA			</v>
      <v xml:space="preserve">http://en.wikipedia.org/wiki/United_States	https://www.census.gov/popest/data/state/asrh/2014/files/SC-EST2014-AGESEX-CIV.csv	http://www.census.gov/quickfacts/table/VET605214/	</v>
      <v xml:space="preserve">http://creativecommons.org/licenses/by-sa/3.0/			</v>
    </spb>
    <spb s="0">
      <v xml:space="preserve">US Census	Cia	</v>
      <v xml:space="preserve">		</v>
      <v xml:space="preserve">https://www.census.gov/popest/data/state/asrh/2014/files/SC-EST2014-AGESEX-CIV.csv	https://www.cia.gov/library/publications/the-world-factbook/geos/us.html?Transportation	</v>
      <v xml:space="preserve">		</v>
    </spb>
    <spb s="0">
      <v xml:space="preserve">Wikipedia	Wikipedia	US Census	Cia	US Census	Sec	</v>
      <v xml:space="preserve">CC-BY-SA	CC-BY-SA					</v>
      <v xml:space="preserve">http://en.wikipedia.org/wiki/United_States	https://en.wikipedia.org/wiki/United_States	https://www.census.gov/popest/data/state/asrh/2014/files/SC-EST2014-AGESEX-CIV.csv	https://www.cia.gov/library/publications/the-world-factbook/geos/us.html?Transportation	http://www.census.gov/quickfacts/table/VET605214/	https://www.sec.gov/cgi-bin/browse-edgar?action=getcompany&amp;CIK=0001582635	</v>
      <v xml:space="preserve">http://creativecommons.org/licenses/by-sa/3.0/	http://creativecommons.org/licenses/by-sa/3.0/					</v>
    </spb>
    <spb s="0">
      <v xml:space="preserve">Wikipedia	</v>
      <v xml:space="preserve">CC-BY-SA	</v>
      <v xml:space="preserve">http://en.wikipedia.org/wiki/United_States	</v>
      <v xml:space="preserve">http://creativecommons.org/licenses/by-sa/3.0/	</v>
    </spb>
    <spb s="0">
      <v xml:space="preserve">Wikipedia	US Census	Cia	</v>
      <v xml:space="preserve">CC-BY-SA			</v>
      <v xml:space="preserve">http://en.wikipedia.org/wiki/United_States	https://www.census.gov/popest/data/state/asrh/2014/files/SC-EST2014-AGESEX-CIV.csv	https://www.cia.gov/library/publications/the-world-factbook/geos/us.html?Transportation	</v>
      <v xml:space="preserve">http://creativecommons.org/licenses/by-sa/3.0/			</v>
    </spb>
    <spb s="0">
      <v xml:space="preserve">Wikipedia	US Census	US Census	Sec	</v>
      <v xml:space="preserve">CC-BY-SA				</v>
      <v xml:space="preserve">http://en.wikipedia.org/wiki/United_States	https://www.census.gov/popest/data/state/asrh/2014/files/SC-EST2014-AGESEX-CIV.csv	http://www.census.gov/quickfacts/table/VET605214/	https://www.sec.gov/cgi-bin/browse-edgar?action=getcompany&amp;CIK=0001582635	</v>
      <v xml:space="preserve">http://creativecommons.org/licenses/by-sa/3.0/				</v>
    </spb>
    <spb s="0">
      <v xml:space="preserve">US Census	</v>
      <v xml:space="preserve">	</v>
      <v xml:space="preserve">https://www.census.gov/popest/data/state/asrh/2014/files/SC-EST2014-AGESEX-CIV.csv	</v>
      <v xml:space="preserve">	</v>
    </spb>
    <spb s="0">
      <v xml:space="preserve">Wikipedia	Wikipedia	Wikidata	</v>
      <v xml:space="preserve">CC-BY-SA	CC-BY-SA		</v>
      <v xml:space="preserve">http://en.wikipedia.org/wiki/United_States	https://en.wikipedia.org/wiki/United_States	https://www.wikidata.org/wiki/Q30	</v>
      <v xml:space="preserve">http://creativecommons.org/licenses/by-sa/3.0/	http://creativecommons.org/licenses/by-sa/3.0/		</v>
    </spb>
    <spb s="0">
      <v xml:space="preserve">Wikipedia	US Census	Cia	US Census	Sec	</v>
      <v xml:space="preserve">CC-BY-SA					</v>
      <v xml:space="preserve">http://en.wikipedia.org/wiki/United_States	https://www.census.gov/popest/data/state/asrh/2014/files/SC-EST2014-AGESEX-CIV.csv	https://www.cia.gov/library/publications/the-world-factbook/geos/us.html?Transportation	http://www.census.gov/quickfacts/table/VET605214/	https://www.sec.gov/cgi-bin/browse-edgar?action=getcompany&amp;CIK=0001582635	</v>
      <v xml:space="preserve">http://creativecommons.org/licenses/by-sa/3.0/					</v>
    </spb>
    <spb s="23">
      <v>13</v>
      <v>129</v>
      <v>130</v>
      <v>131</v>
      <v>17</v>
      <v>18</v>
      <v>131</v>
      <v>132</v>
      <v>132</v>
      <v>133</v>
      <v>134</v>
      <v>132</v>
      <v>132</v>
      <v>23</v>
      <v>129</v>
      <v>135</v>
      <v>24</v>
      <v>136</v>
      <v>135</v>
      <v>25</v>
      <v>26</v>
      <v>27</v>
      <v>135</v>
      <v>137</v>
      <v>135</v>
      <v>28</v>
      <v>29</v>
      <v>30</v>
      <v>31</v>
      <v>135</v>
      <v>129</v>
      <v>135</v>
      <v>135</v>
      <v>135</v>
      <v>135</v>
      <v>135</v>
      <v>135</v>
      <v>135</v>
      <v>135</v>
      <v>135</v>
      <v>135</v>
      <v>32</v>
    </spb>
    <spb s="12">
      <v>2019</v>
      <v>2019</v>
      <v>square km</v>
      <v>per thousand (2018)</v>
      <v>2019</v>
      <v>2022</v>
      <v>2018</v>
      <v>per liter (2016)</v>
      <v>2019</v>
      <v>years (2018)</v>
      <v>2019</v>
      <v>per thousand (2018)</v>
      <v>2019</v>
      <v>2017</v>
      <v>2016</v>
      <v>2020</v>
      <v>2016</v>
      <v>2017</v>
      <v>kilotons per year (2016)</v>
      <v>deaths per 100,000 (2017)</v>
      <v>kWh (2014)</v>
      <v>2015</v>
      <v>2018</v>
      <v>2016</v>
      <v>2016</v>
      <v>2016</v>
      <v>2016</v>
      <v>2016</v>
      <v>2015</v>
      <v>2016</v>
      <v>2016</v>
      <v>2017</v>
      <v>2017</v>
      <v>2019</v>
    </spb>
    <spb s="0">
      <v xml:space="preserve">Wikipedia	</v>
      <v xml:space="preserve">Public domain	</v>
      <v xml:space="preserve">http://en.wikipedia.org/wiki/United_States	</v>
      <v xml:space="preserve">http://en.wikipedia.org/wiki/Public_domain	</v>
    </spb>
    <spb s="0">
      <v xml:space="preserve">Wikipedia	</v>
      <v xml:space="preserve">CC-BY-SA	</v>
      <v xml:space="preserve">http://en.wikipedia.org/wiki/Araquari	</v>
      <v xml:space="preserve">http://creativecommons.org/licenses/by-sa/3.0/	</v>
    </spb>
    <spb s="20">
      <v>141</v>
      <v>141</v>
      <v>141</v>
      <v>141</v>
      <v>141</v>
      <v>141</v>
      <v>141</v>
    </spb>
    <spb s="2">
      <v>9</v>
      <v>Name</v>
      <v>LearnMoreOnLink</v>
    </spb>
    <spb s="0">
      <v xml:space="preserve">Wikipedia	Cia	travel.state.gov	</v>
      <v xml:space="preserve">CC-BY-SA			</v>
      <v xml:space="preserve">http://en.wikipedia.org/wiki/Brazil	https://www.cia.gov/library/publications/the-world-factbook/geos/br.html?Transportation	https://travel.state.gov/content/travel/en/international-travel/International-Travel-Country-Information-Pages/Brazil.html	</v>
      <v xml:space="preserve">http://creativecommons.org/licenses/by-sa/3.0/			</v>
    </spb>
    <spb s="0">
      <v xml:space="preserve">Wikipedia	Cia	</v>
      <v xml:space="preserve">CC-BY-SA		</v>
      <v xml:space="preserve">http://es.wikipedia.org/wiki/Brasil	https://www.cia.gov/library/publications/the-world-factbook/geos/br.html?Transportation	</v>
      <v xml:space="preserve">http://creativecommons.org/licenses/by-sa/3.0/		</v>
    </spb>
    <spb s="0">
      <v xml:space="preserve">Wikipedia	Cia	Wikipedia	travel.state.gov	Sec	Tasteatlas	</v>
      <v xml:space="preserve">CC-BY-SA		CC-BY-SA				</v>
      <v xml:space="preserve">http://en.wikipedia.org/wiki/Brazil	https://www.cia.gov/library/publications/the-world-factbook/geos/br.html?Transportation	https://en.wikipedia.org/wiki/Brazil	https://travel.state.gov/content/travel/en/international-travel/International-Travel-Country-Information-Pages/Brazil.html	https://www.sec.gov/cgi-bin/browse-edgar?action=getcompany&amp;CIK=0001914083	https://www.tasteatlas.com/brazil	</v>
      <v xml:space="preserve">http://creativecommons.org/licenses/by-sa/3.0/		http://creativecommons.org/licenses/by-sa/3.0/				</v>
    </spb>
    <spb s="0">
      <v xml:space="preserve">Wikipedia	</v>
      <v xml:space="preserve">CC-BY-SA	</v>
      <v xml:space="preserve">http://en.wikipedia.org/wiki/Brazil	</v>
      <v xml:space="preserve">http://creativecommons.org/licenses/by-sa/3.0/	</v>
    </spb>
    <spb s="0">
      <v xml:space="preserve">Wikipedia	Cia	</v>
      <v xml:space="preserve">CC-BY-SA		</v>
      <v xml:space="preserve">http://en.wikipedia.org/wiki/Brazil	https://www.cia.gov/library/publications/the-world-factbook/geos/br.html?Transportation	</v>
      <v xml:space="preserve">http://creativecommons.org/licenses/by-sa/3.0/		</v>
    </spb>
    <spb s="0">
      <v xml:space="preserve">Cia	</v>
      <v xml:space="preserve">	</v>
      <v xml:space="preserve">https://www.cia.gov/library/publications/the-world-factbook/geos/br.html?Transportation	</v>
      <v xml:space="preserve">	</v>
    </spb>
    <spb s="24">
      <v>13</v>
      <v>144</v>
      <v>145</v>
      <v>146</v>
      <v>17</v>
      <v>146</v>
      <v>147</v>
      <v>147</v>
      <v>148</v>
      <v>147</v>
      <v>147</v>
      <v>149</v>
      <v>23</v>
      <v>144</v>
      <v>149</v>
      <v>24</v>
      <v>147</v>
      <v>149</v>
      <v>25</v>
      <v>26</v>
      <v>27</v>
      <v>149</v>
      <v>149</v>
      <v>144</v>
      <v>149</v>
      <v>28</v>
      <v>29</v>
      <v>30</v>
      <v>31</v>
      <v>149</v>
      <v>144</v>
      <v>149</v>
      <v>149</v>
      <v>149</v>
      <v>149</v>
      <v>149</v>
      <v>149</v>
      <v>149</v>
      <v>149</v>
      <v>149</v>
      <v>149</v>
      <v>32</v>
    </spb>
    <spb s="12">
      <v>2019</v>
      <v>2019</v>
      <v>square km</v>
      <v>per thousand (2018)</v>
      <v>2020</v>
      <v>2019</v>
      <v>2018</v>
      <v>per liter (2016)</v>
      <v>2019</v>
      <v>years (2018)</v>
      <v>2018</v>
      <v>per thousand (2018)</v>
      <v>2019</v>
      <v>2017</v>
      <v>2016</v>
      <v>2019</v>
      <v>2016</v>
      <v>2018</v>
      <v>kilotons per year (2016)</v>
      <v>deaths per 100,000 (2017)</v>
      <v>kWh (2014)</v>
      <v>2014</v>
      <v>2019</v>
      <v>2018</v>
      <v>2018</v>
      <v>2018</v>
      <v>2018</v>
      <v>2018</v>
      <v>2015</v>
      <v>2018</v>
      <v>2018</v>
      <v>2017</v>
      <v>2017</v>
      <v>2019</v>
    </spb>
    <spb s="0">
      <v xml:space="preserve">Wikipedia	</v>
      <v xml:space="preserve">CC-BY-SA	</v>
      <v xml:space="preserve">http://en.wikipedia.org/wiki/Durban	</v>
      <v xml:space="preserve">http://creativecommons.org/licenses/by-sa/3.0/	</v>
    </spb>
    <spb s="0">
      <v xml:space="preserve">Wikipedia	Sec	Weathertrends360	</v>
      <v xml:space="preserve">CC-BY-SA			</v>
      <v xml:space="preserve">http://en.wikipedia.org/wiki/Durban	https://www.sec.gov/cgi-bin/browse-edgar?action=getcompany&amp;CIK=0001824803	https://www.weathertrends360.com/	</v>
      <v xml:space="preserve">http://creativecommons.org/licenses/by-sa/3.0/			</v>
    </spb>
    <spb s="0">
      <v xml:space="preserve">Wikipedia	Wikipedia	Sec	</v>
      <v xml:space="preserve">CC-BY-SA	CC-BY-SA		</v>
      <v xml:space="preserve">http://en.wikipedia.org/wiki/Durban	https://en.wikipedia.org/wiki/Durban	https://www.sec.gov/cgi-bin/browse-edgar?action=getcompany&amp;CIK=0001824803	</v>
      <v xml:space="preserve">http://creativecommons.org/licenses/by-sa/3.0/	http://creativecommons.org/licenses/by-sa/3.0/		</v>
    </spb>
    <spb s="0">
      <v xml:space="preserve">Wikipedia	Wikipedia	</v>
      <v xml:space="preserve">CC-BY-SA	CC-BY-SA	</v>
      <v xml:space="preserve">http://en.wikipedia.org/wiki/Durban	http://es.wikipedia.org/wiki/Durban	</v>
      <v xml:space="preserve">http://creativecommons.org/licenses/by-sa/3.0/	http://creativecommons.org/licenses/by-sa/3.0/	</v>
    </spb>
    <spb s="20">
      <v>152</v>
      <v>153</v>
      <v>152</v>
      <v>153</v>
      <v>152</v>
      <v>154</v>
      <v>155</v>
    </spb>
    <spb s="8">
      <v>square km</v>
      <v>2018</v>
    </spb>
    <spb s="0">
      <v xml:space="preserve">Wikipedia	Cia	travel.state.gov	</v>
      <v xml:space="preserve">CC-BY-SA			</v>
      <v xml:space="preserve">http://en.wikipedia.org/wiki/South_Africa	https://www.cia.gov/library/publications/the-world-factbook/geos/sf.html?Transportation	https://travel.state.gov/content/travel/en/international-travel/International-Travel-Country-Information-Pages/SouthAfrica.html	</v>
      <v xml:space="preserve">http://creativecommons.org/licenses/by-sa/3.0/			</v>
    </spb>
    <spb s="0">
      <v xml:space="preserve">Cia	</v>
      <v xml:space="preserve">	</v>
      <v xml:space="preserve">https://www.cia.gov/library/publications/the-world-factbook/geos/sf.html?Transportation	</v>
      <v xml:space="preserve">	</v>
    </spb>
    <spb s="0">
      <v xml:space="preserve">Wikipedia	Cia	Wikipedia	travel.state.gov	Sec	</v>
      <v xml:space="preserve">CC-BY-SA		CC-BY-SA			</v>
      <v xml:space="preserve">http://en.wikipedia.org/wiki/South_Africa	https://www.cia.gov/library/publications/the-world-factbook/geos/sf.html?Transportation	https://en.wikipedia.org/wiki/South_Africa	https://travel.state.gov/content/travel/en/international-travel/International-Travel-Country-Information-Pages/SouthAfrica.html	https://www.sec.gov/cgi-bin/browse-edgar?action=getcompany&amp;CIK=0001910319	</v>
      <v xml:space="preserve">http://creativecommons.org/licenses/by-sa/3.0/		http://creativecommons.org/licenses/by-sa/3.0/			</v>
    </spb>
    <spb s="0">
      <v xml:space="preserve">Wikipedia	</v>
      <v xml:space="preserve">CC-BY-SA	</v>
      <v xml:space="preserve">http://en.wikipedia.org/wiki/South_Africa	</v>
      <v xml:space="preserve">http://creativecommons.org/licenses/by-sa/3.0/	</v>
    </spb>
    <spb s="0">
      <v xml:space="preserve">Wikipedia	Cia	</v>
      <v xml:space="preserve">CC-BY-SA		</v>
      <v xml:space="preserve">http://en.wikipedia.org/wiki/South_Africa	https://www.cia.gov/library/publications/the-world-factbook/geos/sf.html?Transportation	</v>
      <v xml:space="preserve">http://creativecommons.org/licenses/by-sa/3.0/		</v>
    </spb>
    <spb s="0">
      <v xml:space="preserve">travel.state.gov	</v>
      <v xml:space="preserve">	</v>
      <v xml:space="preserve">https://travel.state.gov/content/travel/en/international-travel/International-Travel-Country-Information-Pages/SouthAfrica.html	</v>
      <v xml:space="preserve">	</v>
    </spb>
    <spb s="0">
      <v xml:space="preserve">Wikipedia	Wikipedia	</v>
      <v xml:space="preserve">CC-BY-SA	CC-BY-SA	</v>
      <v xml:space="preserve">http://en.wikipedia.org/wiki/South_Africa	http://hi.wikipedia.org/wiki/दक्षिण_अफ्रीका	</v>
      <v xml:space="preserve">http://creativecommons.org/licenses/by-sa/3.0/	http://creativecommons.org/licenses/by-sa/3.0/	</v>
    </spb>
    <spb s="0">
      <v xml:space="preserve">Wikipedia	Wikipedia	Cia	Wikipedia	Wikipedia	travel.state.gov	Sec	</v>
      <v xml:space="preserve">CC-BY-SA	CC-BY-SA		CC-BY-SA	CC-BY-SA			</v>
      <v xml:space="preserve">http://en.wikipedia.org/wiki/South_Africa	http://fr.wikipedia.org/wiki/Afrique_du_Sud	https://www.cia.gov/library/publications/the-world-factbook/geos/sf.html?Transportation	http://hi.wikipedia.org/wiki/दक्षिण_अफ्रीका	https://en.wikipedia.org/wiki/South_Africa	https://travel.state.gov/content/travel/en/international-travel/International-Travel-Country-Information-Pages/SouthAfrica.html	https://www.sec.gov/cgi-bin/browse-edgar?action=getcompany&amp;CIK=0001910319	</v>
      <v xml:space="preserve">http://creativecommons.org/licenses/by-sa/3.0/	http://creativecommons.org/licenses/by-sa/3.0/		http://creativecommons.org/licenses/by-sa/3.0/	http://creativecommons.org/licenses/by-sa/3.0/			</v>
    </spb>
    <spb s="25">
      <v>13</v>
      <v>158</v>
      <v>159</v>
      <v>160</v>
      <v>17</v>
      <v>18</v>
      <v>160</v>
      <v>161</v>
      <v>161</v>
      <v>162</v>
      <v>161</v>
      <v>163</v>
      <v>159</v>
      <v>23</v>
      <v>158</v>
      <v>159</v>
      <v>24</v>
      <v>164</v>
      <v>159</v>
      <v>25</v>
      <v>26</v>
      <v>27</v>
      <v>159</v>
      <v>159</v>
      <v>165</v>
      <v>159</v>
      <v>28</v>
      <v>29</v>
      <v>30</v>
      <v>31</v>
      <v>159</v>
      <v>158</v>
      <v>159</v>
      <v>159</v>
      <v>159</v>
      <v>159</v>
      <v>159</v>
      <v>159</v>
      <v>159</v>
      <v>159</v>
      <v>159</v>
      <v>159</v>
      <v>32</v>
    </spb>
    <spb s="2">
      <v>10</v>
      <v>Name</v>
      <v>LearnMoreOnLink</v>
    </spb>
    <spb s="12">
      <v>2019</v>
      <v>2019</v>
      <v>square km</v>
      <v>per thousand (2018)</v>
      <v>2019</v>
      <v>2019</v>
      <v>2018</v>
      <v>per liter (2016)</v>
      <v>2019</v>
      <v>years (2018)</v>
      <v>2018</v>
      <v>per thousand (2018)</v>
      <v>2019</v>
      <v>2017</v>
      <v>2016</v>
      <v>2019</v>
      <v>2016</v>
      <v>2017</v>
      <v>kilotons per year (2016)</v>
      <v>deaths per 100,000 (2017)</v>
      <v>kWh (2014)</v>
      <v>2014</v>
      <v>2019</v>
      <v>2014</v>
      <v>2014</v>
      <v>2014</v>
      <v>2014</v>
      <v>2014</v>
      <v>2015</v>
      <v>2014</v>
      <v>2014</v>
      <v>2017</v>
      <v>2017</v>
      <v>2019</v>
    </spb>
    <spb s="0">
      <v xml:space="preserve">Wikipedia	</v>
      <v xml:space="preserve">CC-BY-SA	</v>
      <v xml:space="preserve">http://en.wikipedia.org/wiki/Genoa	</v>
      <v xml:space="preserve">http://creativecommons.org/licenses/by-sa/3.0/	</v>
    </spb>
    <spb s="0">
      <v xml:space="preserve">Wikipedia	Weathertrends360	</v>
      <v xml:space="preserve">CC-BY-SA		</v>
      <v xml:space="preserve">http://en.wikipedia.org/wiki/Genoa	https://www.weathertrends360.com/	</v>
      <v xml:space="preserve">http://creativecommons.org/licenses/by-sa/3.0/		</v>
    </spb>
    <spb s="0">
      <v xml:space="preserve">Wikipedia	Wikipedia	</v>
      <v xml:space="preserve">CC-BY-SA	CC-BY-SA	</v>
      <v xml:space="preserve">http://en.wikipedia.org/wiki/Genoa	https://en.wikipedia.org/wiki/Genoa	</v>
      <v xml:space="preserve">http://creativecommons.org/licenses/by-sa/3.0/	http://creativecommons.org/licenses/by-sa/3.0/	</v>
    </spb>
    <spb s="16">
      <v>169</v>
      <v>170</v>
      <v>169</v>
      <v>169</v>
      <v>169</v>
      <v>170</v>
      <v>169</v>
      <v>171</v>
      <v>170</v>
    </spb>
    <spb s="0">
      <v xml:space="preserve">Wikipedia	Wikipedia	Cia	travel.state.gov	</v>
      <v xml:space="preserve">CC-BY-SA	CC-BY-SA			</v>
      <v xml:space="preserve">http://es.wikipedia.org/wiki/Italia	http://en.wikipedia.org/wiki/Italy	https://www.cia.gov/library/publications/the-world-factbook/geos/it.html?Transportation	https://travel.state.gov/content/travel/en/international-travel/International-Travel-Country-Information-Pages/SanMarino.html	</v>
      <v xml:space="preserve">http://creativecommons.org/licenses/by-sa/3.0/	http://creativecommons.org/licenses/by-sa/3.0/			</v>
    </spb>
    <spb s="0">
      <v xml:space="preserve">Wikipedia	Wikipedia	Cia	</v>
      <v xml:space="preserve">CC-BY-SA	CC-BY-SA		</v>
      <v xml:space="preserve">http://es.wikipedia.org/wiki/Italia	http://en.wikipedia.org/wiki/Italy	https://www.cia.gov/library/publications/the-world-factbook/geos/it.html?Transportation	</v>
      <v xml:space="preserve">http://creativecommons.org/licenses/by-sa/3.0/	http://creativecommons.org/licenses/by-sa/3.0/		</v>
    </spb>
    <spb s="0">
      <v xml:space="preserve">Wikipedia	Wikipedia	Wikipedia	Cia	ec.europa.eu	travel.state.gov	Sec	</v>
      <v xml:space="preserve">CC-BY-SA	CC-BY-SA	CC-BY-SA					</v>
      <v xml:space="preserve">http://es.wikipedia.org/wiki/Italia	http://en.wikipedia.org/wiki/Italy	https://en.wikipedia.org/wiki/Italy	https://www.cia.gov/library/publications/the-world-factbook/geos/it.html?Transportation	https://ec.europa.eu/CensusHub2/query.do?step=selectHyperCube&amp;qhc=false#StatusInEmployment	https://travel.state.gov/content/travel/en/international-travel/International-Travel-Country-Information-Pages/SanMarino.html	https://www.sec.gov/cgi-bin/browse-edgar?action=getcompany&amp;CIK=0001913624	</v>
      <v xml:space="preserve">http://creativecommons.org/licenses/by-sa/3.0/	http://creativecommons.org/licenses/by-sa/3.0/	http://creativecommons.org/licenses/by-sa/3.0/					</v>
    </spb>
    <spb s="0">
      <v xml:space="preserve">Wikipedia	</v>
      <v xml:space="preserve">CC-BY-SA	</v>
      <v xml:space="preserve">http://en.wikipedia.org/wiki/Italy	</v>
      <v xml:space="preserve">http://creativecommons.org/licenses/by-sa/3.0/	</v>
    </spb>
    <spb s="0">
      <v xml:space="preserve">Wikipedia	Wikipedia	Wikipedia	Cia	travel.state.gov	Sec	</v>
      <v xml:space="preserve">CC-BY-SA	CC-BY-SA	CC-BY-SA				</v>
      <v xml:space="preserve">http://es.wikipedia.org/wiki/Italia	http://en.wikipedia.org/wiki/Italy	http://fr.wikipedia.org/wiki/Italie	https://www.cia.gov/library/publications/the-world-factbook/geos/it.html?Transportation	https://travel.state.gov/content/travel/en/international-travel/International-Travel-Country-Information-Pages/SanMarino.html	https://www.sec.gov/cgi-bin/browse-edgar?action=getcompany&amp;CIK=0001913624	</v>
      <v xml:space="preserve">http://creativecommons.org/licenses/by-sa/3.0/	http://creativecommons.org/licenses/by-sa/3.0/	http://creativecommons.org/licenses/by-sa/3.0/				</v>
    </spb>
    <spb s="0">
      <v xml:space="preserve">travel.state.gov	</v>
      <v xml:space="preserve">	</v>
      <v xml:space="preserve">https://travel.state.gov/content/travel/en/international-travel/International-Travel-Country-Information-Pages/SanMarino.html	</v>
      <v xml:space="preserve">	</v>
    </spb>
    <spb s="0">
      <v xml:space="preserve">Cia	</v>
      <v xml:space="preserve">	</v>
      <v xml:space="preserve">https://www.cia.gov/library/publications/the-world-factbook/geos/it.html?Transportation	</v>
      <v xml:space="preserve">	</v>
    </spb>
    <spb s="0">
      <v xml:space="preserve">Wikipedia	Wikipedia	</v>
      <v xml:space="preserve">CC-BY-SA	CC-BY-SA	</v>
      <v xml:space="preserve">http://es.wikipedia.org/wiki/Italia	http://en.wikipedia.org/wiki/Italy	</v>
      <v xml:space="preserve">http://creativecommons.org/licenses/by-sa/3.0/	http://creativecommons.org/licenses/by-sa/3.0/	</v>
    </spb>
    <spb s="26">
      <v>13</v>
      <v>173</v>
      <v>174</v>
      <v>175</v>
      <v>17</v>
      <v>18</v>
      <v>175</v>
      <v>176</v>
      <v>176</v>
      <v>174</v>
      <v>177</v>
      <v>176</v>
      <v>178</v>
      <v>179</v>
      <v>23</v>
      <v>173</v>
      <v>179</v>
      <v>24</v>
      <v>180</v>
      <v>179</v>
      <v>25</v>
      <v>26</v>
      <v>27</v>
      <v>179</v>
      <v>179</v>
      <v>177</v>
      <v>179</v>
      <v>28</v>
      <v>29</v>
      <v>30</v>
      <v>31</v>
      <v>179</v>
      <v>173</v>
      <v>179</v>
      <v>179</v>
      <v>179</v>
      <v>179</v>
      <v>179</v>
      <v>179</v>
      <v>179</v>
      <v>179</v>
      <v>179</v>
      <v>179</v>
      <v>32</v>
    </spb>
    <spb s="2">
      <v>11</v>
      <v>Name</v>
      <v>LearnMoreOnLink</v>
    </spb>
    <spb s="12">
      <v>2019</v>
      <v>2019</v>
      <v>square km</v>
      <v>per thousand (2018)</v>
      <v>2019</v>
      <v>2019</v>
      <v>2018</v>
      <v>per liter (2016)</v>
      <v>2019</v>
      <v>years (2018)</v>
      <v>2018</v>
      <v>per thousand (2018)</v>
      <v>2019</v>
      <v>2017</v>
      <v>2016</v>
      <v>2019</v>
      <v>2016</v>
      <v>2018</v>
      <v>kilotons per year (2014)</v>
      <v>deaths per 100,000 (2017)</v>
      <v>kWh (2014)</v>
      <v>2015</v>
      <v>2008</v>
      <v>2017</v>
      <v>2017</v>
      <v>2017</v>
      <v>2017</v>
      <v>2017</v>
      <v>2015</v>
      <v>2017</v>
      <v>2017</v>
      <v>2017</v>
      <v>2017</v>
      <v>2019</v>
    </spb>
    <spb s="0">
      <v xml:space="preserve">Wikipedia	</v>
      <v xml:space="preserve">Public domain	</v>
      <v xml:space="preserve">http://no.wikipedia.org/wiki/Italia	</v>
      <v xml:space="preserve">http://en.wikipedia.org/wiki/Public_domain	</v>
    </spb>
    <spb s="0">
      <v xml:space="preserve">Wikipedia	</v>
      <v xml:space="preserve">CC-BY-SA	</v>
      <v xml:space="preserve">http://en.wikipedia.org/wiki/London	</v>
      <v xml:space="preserve">http://creativecommons.org/licenses/by-sa/3.0/	</v>
    </spb>
    <spb s="0">
      <v xml:space="preserve">Wikipedia	Sec	</v>
      <v xml:space="preserve">CC-BY-SA		</v>
      <v xml:space="preserve">http://en.wikipedia.org/wiki/London	https://www.sec.gov/cgi-bin/browse-edgar?action=getcompany&amp;CIK=0001924953	</v>
      <v xml:space="preserve">http://creativecommons.org/licenses/by-sa/3.0/		</v>
    </spb>
    <spb s="0">
      <v xml:space="preserve">Wikipedia	Wikipedia	Sec	</v>
      <v xml:space="preserve">CC-BY-SA	CC-BY-SA		</v>
      <v xml:space="preserve">http://en.wikipedia.org/wiki/London	https://en.wikipedia.org/wiki/London	https://www.sec.gov/cgi-bin/browse-edgar?action=getcompany&amp;CIK=0001924953	</v>
      <v xml:space="preserve">http://creativecommons.org/licenses/by-sa/3.0/	http://creativecommons.org/licenses/by-sa/3.0/		</v>
    </spb>
    <spb s="0">
      <v xml:space="preserve">Wikipedia	Wikidata	Wikipedia	</v>
      <v xml:space="preserve">CC-BY-SA		CC-BY-SA	</v>
      <v xml:space="preserve">http://en.wikipedia.org/wiki/London	https://www.wikidata.org/wiki/Q84	https://en.wikipedia.org/wiki/London	</v>
      <v xml:space="preserve">http://creativecommons.org/licenses/by-sa/3.0/		http://creativecommons.org/licenses/by-sa/3.0/	</v>
    </spb>
    <spb s="13">
      <v>185</v>
      <v>186</v>
      <v>185</v>
      <v>186</v>
      <v>185</v>
      <v>187</v>
      <v>188</v>
      <v>185</v>
    </spb>
    <spb s="8">
      <v>square km</v>
      <v>2021</v>
    </spb>
    <spb s="0">
      <v xml:space="preserve">Wikipedia	Cia	travel.state.gov	</v>
      <v xml:space="preserve">CC-BY-SA			</v>
      <v xml:space="preserve">http://en.wikipedia.org/wiki/United_Kingdom	https://www.cia.gov/library/publications/the-world-factbook/geos/uk.html?Transportation	https://travel.state.gov/content/travel/en/international-travel/International-Travel-Country-Information-Pages/UnitedKingdom.html?wcmmode=disabled	</v>
      <v xml:space="preserve">http://creativecommons.org/licenses/by-sa/3.0/			</v>
    </spb>
    <spb s="0">
      <v xml:space="preserve">Cia	</v>
      <v xml:space="preserve">	</v>
      <v xml:space="preserve">https://www.cia.gov/library/publications/the-world-factbook/geos/uk.html?Transportation	</v>
      <v xml:space="preserve">	</v>
    </spb>
    <spb s="0">
      <v xml:space="preserve">Wikipedia	Cia	Wikipedia	travel.state.gov	ons.gov.uk	Sec	</v>
      <v xml:space="preserve">CC-BY-SA		CC-BY-SA				</v>
      <v xml:space="preserve">http://en.wikipedia.org/wiki/United_Kingdom	https://www.cia.gov/library/publications/the-world-factbook/geos/uk.html?Transportation	https://en.wikipedia.org/wiki/United_Kingdom	https://travel.state.gov/content/travel/en/international-travel/International-Travel-Country-Information-Pages/UnitedKingdom.html?wcmmode=disabled	https://www.ons.gov.uk/file?uri=/peoplepopulationandcommunity/populationandmigration/populationestimates/datasets/populationestimatesforukenglandandwalesscotlandandnorthernireland/mid2012tomid2016/ukmidyearestimates20122016.xls	https://www.sec.gov/cgi-bin/browse-edgar?action=getcompany&amp;CIK=0001924953	</v>
      <v xml:space="preserve">http://creativecommons.org/licenses/by-sa/3.0/		http://creativecommons.org/licenses/by-sa/3.0/				</v>
    </spb>
    <spb s="0">
      <v xml:space="preserve">Wikipedia	</v>
      <v xml:space="preserve">CC-BY-SA	</v>
      <v xml:space="preserve">http://en.wikipedia.org/wiki/United_Kingdom	</v>
      <v xml:space="preserve">http://creativecommons.org/licenses/by-sa/3.0/	</v>
    </spb>
    <spb s="0">
      <v xml:space="preserve">Wikipedia	Cia	</v>
      <v xml:space="preserve">CC-BY-SA		</v>
      <v xml:space="preserve">http://en.wikipedia.org/wiki/United_Kingdom	https://www.cia.gov/library/publications/the-world-factbook/geos/uk.html?Transportation	</v>
      <v xml:space="preserve">http://creativecommons.org/licenses/by-sa/3.0/		</v>
    </spb>
    <spb s="0">
      <v xml:space="preserve">Wikipedia	Wikipedia	Cia	travel.state.gov	Sec	</v>
      <v xml:space="preserve">CC-BY-SA	CC-BY-SA				</v>
      <v xml:space="preserve">http://en.wikipedia.org/wiki/United_Kingdom	http://fr.wikipedia.org/wiki/Royaume-Uni	https://www.cia.gov/library/publications/the-world-factbook/geos/uk.html?Transportation	https://travel.state.gov/content/travel/en/international-travel/International-Travel-Country-Information-Pages/UnitedKingdom.html?wcmmode=disabled	https://www.sec.gov/cgi-bin/browse-edgar?action=getcompany&amp;CIK=0001924953	</v>
      <v xml:space="preserve">http://creativecommons.org/licenses/by-sa/3.0/	http://creativecommons.org/licenses/by-sa/3.0/				</v>
    </spb>
    <spb s="0">
      <v xml:space="preserve">Wikipedia	Wikipedia	</v>
      <v xml:space="preserve">CC-BY-SA	CC-BY-SA	</v>
      <v xml:space="preserve">http://en.wikipedia.org/wiki/United_Kingdom	http://km.wikipedia.org/wiki/ចក្រភពអង់គ្លេស	</v>
      <v xml:space="preserve">http://creativecommons.org/licenses/by-sa/3.0/	http://creativecommons.org/licenses/by-sa/3.0/	</v>
    </spb>
    <spb s="21">
      <v>13</v>
      <v>191</v>
      <v>192</v>
      <v>193</v>
      <v>17</v>
      <v>18</v>
      <v>193</v>
      <v>194</v>
      <v>194</v>
      <v>195</v>
      <v>196</v>
      <v>194</v>
      <v>194</v>
      <v>192</v>
      <v>23</v>
      <v>191</v>
      <v>192</v>
      <v>24</v>
      <v>197</v>
      <v>192</v>
      <v>25</v>
      <v>26</v>
      <v>27</v>
      <v>192</v>
      <v>192</v>
      <v>196</v>
      <v>192</v>
      <v>28</v>
      <v>29</v>
      <v>30</v>
      <v>31</v>
      <v>192</v>
      <v>191</v>
      <v>192</v>
      <v>192</v>
      <v>192</v>
      <v>192</v>
      <v>192</v>
      <v>192</v>
      <v>192</v>
      <v>192</v>
      <v>192</v>
      <v>192</v>
      <v>32</v>
    </spb>
    <spb s="12">
      <v>2019</v>
      <v>2019</v>
      <v>square km</v>
      <v>per thousand (2018)</v>
      <v>2019</v>
      <v>2019</v>
      <v>2018</v>
      <v>per liter (2016)</v>
      <v>2019</v>
      <v>years (2018)</v>
      <v>2018</v>
      <v>per thousand (2018)</v>
      <v>2019</v>
      <v>2017</v>
      <v>2016</v>
      <v>2019</v>
      <v>2016</v>
      <v>2018</v>
      <v>kilotons per year (2016)</v>
      <v>deaths per 100,000 (2017)</v>
      <v>kWh (2014)</v>
      <v>2015</v>
      <v>2008</v>
      <v>2016</v>
      <v>2016</v>
      <v>2016</v>
      <v>2016</v>
      <v>2016</v>
      <v>2015</v>
      <v>2016</v>
      <v>2016</v>
      <v>2017</v>
      <v>2017</v>
      <v>2019</v>
    </spb>
    <spb s="0">
      <v xml:space="preserve">Wikipedia	</v>
      <v xml:space="preserve">Public domain	</v>
      <v xml:space="preserve">http://en.wikipedia.org/wiki/United_Kingdom	</v>
      <v xml:space="preserve">http://en.wikipedia.org/wiki/Public_domain	</v>
    </spb>
    <spb s="0">
      <v xml:space="preserve">Wikipedia	</v>
      <v xml:space="preserve">CC-BY-SA	</v>
      <v xml:space="preserve">http://en.wikipedia.org/wiki/Moscow	</v>
      <v xml:space="preserve">http://creativecommons.org/licenses/by-sa/3.0/	</v>
    </spb>
    <spb s="0">
      <v xml:space="preserve">Wikipedia	Wikipedia	Sec	Weathertrends360	</v>
      <v xml:space="preserve">CC-BY-SA	CC-BY-SA			</v>
      <v xml:space="preserve">http://en.wikipedia.org/wiki/Moscow	https://en.wikipedia.org/wiki/Moscow	https://www.sec.gov/cgi-bin/browse-edgar?action=getcompany&amp;CIK=0001814824	https://www.weathertrends360.com/	</v>
      <v xml:space="preserve">http://creativecommons.org/licenses/by-sa/3.0/	http://creativecommons.org/licenses/by-sa/3.0/			</v>
    </spb>
    <spb s="0">
      <v xml:space="preserve">Wikipedia	Wikipedia	Sec	</v>
      <v xml:space="preserve">CC-BY-SA	CC-BY-SA		</v>
      <v xml:space="preserve">http://en.wikipedia.org/wiki/Moscow	https://en.wikipedia.org/wiki/Moscow	https://www.sec.gov/cgi-bin/browse-edgar?action=getcompany&amp;CIK=0001814824	</v>
      <v xml:space="preserve">http://creativecommons.org/licenses/by-sa/3.0/	http://creativecommons.org/licenses/by-sa/3.0/		</v>
    </spb>
    <spb s="15">
      <v>201</v>
      <v>202</v>
      <v>201</v>
      <v>202</v>
      <v>201</v>
      <v>201</v>
      <v>203</v>
    </spb>
    <spb s="2">
      <v>12</v>
      <v>Name</v>
      <v>LearnMoreOnLink</v>
    </spb>
    <spb s="8">
      <v>square km</v>
      <v>2013</v>
    </spb>
    <spb s="0">
      <v xml:space="preserve">Wikipedia	Cia	travel.state.gov	</v>
      <v xml:space="preserve">CC-BY-SA			</v>
      <v xml:space="preserve">http://en.wikipedia.org/wiki/Russia	https://www.cia.gov/library/publications/the-world-factbook/geos/rs.html?Transportation	https://travel.state.gov/content/travel/en/international-travel/International-Travel-Country-Information-Pages/RussianFederation.html	</v>
      <v xml:space="preserve">http://creativecommons.org/licenses/by-sa/3.0/			</v>
    </spb>
    <spb s="0">
      <v xml:space="preserve">Cia	</v>
      <v xml:space="preserve">	</v>
      <v xml:space="preserve">https://www.cia.gov/library/publications/the-world-factbook/geos/rs.html?Transportation	</v>
      <v xml:space="preserve">	</v>
    </spb>
    <spb s="0">
      <v xml:space="preserve">Wikipedia	Wikipedia	Cia	travel.state.gov	</v>
      <v xml:space="preserve">CC-BY-SA	CC-BY-SA			</v>
      <v xml:space="preserve">http://en.wikipedia.org/wiki/Russia	https://en.wikipedia.org/wiki/Russia	https://www.cia.gov/library/publications/the-world-factbook/geos/rs.html?Transportation	https://travel.state.gov/content/travel/en/international-travel/International-Travel-Country-Information-Pages/RussianFederation.html	</v>
      <v xml:space="preserve">http://creativecommons.org/licenses/by-sa/3.0/	http://creativecommons.org/licenses/by-sa/3.0/			</v>
    </spb>
    <spb s="0">
      <v xml:space="preserve">Wikipedia	</v>
      <v xml:space="preserve">CC-BY-SA	</v>
      <v xml:space="preserve">http://en.wikipedia.org/wiki/Russia	</v>
      <v xml:space="preserve">http://creativecommons.org/licenses/by-sa/3.0/	</v>
    </spb>
    <spb s="0">
      <v xml:space="preserve">Wikipedia	Cia	</v>
      <v xml:space="preserve">CC-BY-SA		</v>
      <v xml:space="preserve">http://en.wikipedia.org/wiki/Russia	https://www.cia.gov/library/publications/the-world-factbook/geos/rs.html?Transportation	</v>
      <v xml:space="preserve">http://creativecommons.org/licenses/by-sa/3.0/		</v>
    </spb>
    <spb s="0">
      <v xml:space="preserve">Wikipedia	Wikipedia	Wikipedia	Cia	travel.state.gov	Sec	</v>
      <v xml:space="preserve">CC-BY-SA	CC-BY-SA	CC-BY-SA				</v>
      <v xml:space="preserve">http://en.wikipedia.org/wiki/Russia	https://en.wikipedia.org/wiki/Russia	http://fr.wikipedia.org/wiki/Russie	https://www.cia.gov/library/publications/the-world-factbook/geos/rs.html?Transportation	https://travel.state.gov/content/travel/en/international-travel/International-Travel-Country-Information-Pages/RussianFederation.html	https://www.sec.gov/cgi-bin/browse-edgar?action=getcompany&amp;CIK=0001814824	</v>
      <v xml:space="preserve">http://creativecommons.org/licenses/by-sa/3.0/	http://creativecommons.org/licenses/by-sa/3.0/	http://creativecommons.org/licenses/by-sa/3.0/				</v>
    </spb>
    <spb s="0">
      <v xml:space="preserve">travel.state.gov	</v>
      <v xml:space="preserve">	</v>
      <v xml:space="preserve">https://travel.state.gov/content/travel/en/international-travel/International-Travel-Country-Information-Pages/RussianFederation.html	</v>
      <v xml:space="preserve">	</v>
    </spb>
    <spb s="10">
      <v>13</v>
      <v>207</v>
      <v>208</v>
      <v>209</v>
      <v>17</v>
      <v>18</v>
      <v>209</v>
      <v>210</v>
      <v>210</v>
      <v>211</v>
      <v>212</v>
      <v>210</v>
      <v>210</v>
      <v>213</v>
      <v>208</v>
      <v>23</v>
      <v>207</v>
      <v>208</v>
      <v>24</v>
      <v>210</v>
      <v>208</v>
      <v>25</v>
      <v>26</v>
      <v>27</v>
      <v>208</v>
      <v>208</v>
      <v>212</v>
      <v>208</v>
      <v>28</v>
      <v>29</v>
      <v>30</v>
      <v>31</v>
      <v>208</v>
      <v>207</v>
      <v>208</v>
      <v>208</v>
      <v>208</v>
      <v>208</v>
      <v>208</v>
      <v>208</v>
      <v>208</v>
      <v>208</v>
      <v>208</v>
      <v>208</v>
      <v>32</v>
    </spb>
    <spb s="12">
      <v>2019</v>
      <v>2019</v>
      <v>square km</v>
      <v>per thousand (2018)</v>
      <v>2019</v>
      <v>2019</v>
      <v>2018</v>
      <v>per liter (2016)</v>
      <v>2019</v>
      <v>years (2018)</v>
      <v>2018</v>
      <v>per thousand (2018)</v>
      <v>2019</v>
      <v>2017</v>
      <v>2016</v>
      <v>2019</v>
      <v>2016</v>
      <v>2016</v>
      <v>kilotons per year (2016)</v>
      <v>deaths per 100,000 (2017)</v>
      <v>kWh (2014)</v>
      <v>2014</v>
      <v>2018</v>
      <v>2018</v>
      <v>2018</v>
      <v>2018</v>
      <v>2018</v>
      <v>2018</v>
      <v>2015</v>
      <v>2018</v>
      <v>2018</v>
      <v>2017</v>
      <v>2017</v>
      <v>2019</v>
    </spb>
    <spb s="0">
      <v xml:space="preserve">Wikipedia	</v>
      <v xml:space="preserve">Public domain	</v>
      <v xml:space="preserve">http://no.wikipedia.org/wiki/Russland	</v>
      <v xml:space="preserve">http://en.wikipedia.org/wiki/Public_domain	</v>
    </spb>
    <spb s="0">
      <v xml:space="preserve">Wikipedia	</v>
      <v xml:space="preserve">CC-BY-SA	</v>
      <v xml:space="preserve">http://en.wikipedia.org/wiki/Busan	</v>
      <v xml:space="preserve">http://creativecommons.org/licenses/by-sa/3.0/	</v>
    </spb>
    <spb s="0">
      <v xml:space="preserve">Wikipedia	Kosis	Sec	Weathertrends360	</v>
      <v xml:space="preserve">CC-BY-SA				</v>
      <v xml:space="preserve">http://en.wikipedia.org/wiki/Busan	http://kosis.kr/statHtml/statHtml.do?orgId=101&amp;tblId=DT_1IN0001_ENG&amp;conn_path=I2&amp;language=en	https://www.sec.gov/cgi-bin/browse-edgar?action=getcompany&amp;CIK=0001178377	https://www.weathertrends360.com/	</v>
      <v xml:space="preserve">http://creativecommons.org/licenses/by-sa/3.0/				</v>
    </spb>
    <spb s="0">
      <v xml:space="preserve">Kosis	</v>
      <v xml:space="preserve">	</v>
      <v xml:space="preserve">http://kosis.kr/statHtml/statHtml.do?orgId=101&amp;tblId=DT_1IN0001_ENG&amp;conn_path=I2&amp;language=en	</v>
      <v xml:space="preserve">	</v>
    </spb>
    <spb s="0">
      <v xml:space="preserve">Wikipedia	Kosis	Wikipedia	Sec	</v>
      <v xml:space="preserve">CC-BY-SA		CC-BY-SA		</v>
      <v xml:space="preserve">http://en.wikipedia.org/wiki/Busan	http://kosis.kr/statHtml/statHtml.do?orgId=101&amp;tblId=DT_1IN0001_ENG&amp;conn_path=I2&amp;language=en	https://en.wikipedia.org/wiki/Busan	https://www.sec.gov/cgi-bin/browse-edgar?action=getcompany&amp;CIK=0001178377	</v>
      <v xml:space="preserve">http://creativecommons.org/licenses/by-sa/3.0/		http://creativecommons.org/licenses/by-sa/3.0/		</v>
    </spb>
    <spb s="27">
      <v>217</v>
      <v>218</v>
      <v>219</v>
      <v>217</v>
      <v>218</v>
      <v>217</v>
      <v>217</v>
      <v>219</v>
      <v>220</v>
    </spb>
    <spb s="2">
      <v>13</v>
      <v>Name</v>
      <v>LearnMoreOnLink</v>
    </spb>
    <spb s="28">
      <v>square km</v>
      <v>2016</v>
      <v>2020</v>
      <v>2016</v>
    </spb>
    <spb s="0">
      <v xml:space="preserve">Wikipedia	travel.state.gov	</v>
      <v xml:space="preserve">CC-BY-SA		</v>
      <v xml:space="preserve">http://en.wikipedia.org/wiki/South_Korea	https://travel.state.gov/content/travel/en/international-travel/International-Travel-Country-Information-Pages/SouthKorea.html	</v>
      <v xml:space="preserve">http://creativecommons.org/licenses/by-sa/3.0/		</v>
    </spb>
    <spb s="0">
      <v xml:space="preserve">Cia	</v>
      <v xml:space="preserve">	</v>
      <v xml:space="preserve">https://www.cia.gov/library/publications/the-world-factbook/geos/ks.html?Transportation	</v>
      <v xml:space="preserve">	</v>
    </spb>
    <spb s="0">
      <v xml:space="preserve">Wikipedia	Wikipedia	Kosis	travel.state.gov	</v>
      <v xml:space="preserve">CC-BY-SA	CC-BY-SA			</v>
      <v xml:space="preserve">http://en.wikipedia.org/wiki/South_Korea	https://en.wikipedia.org/wiki/South_Korea	http://kosis.kr/statHtml/statHtml.do?orgId=101&amp;tblId=DT_1IN0001_ENG&amp;conn_path=I2&amp;language=en	https://travel.state.gov/content/travel/en/international-travel/International-Travel-Country-Information-Pages/SouthKorea.html	</v>
      <v xml:space="preserve">http://creativecommons.org/licenses/by-sa/3.0/	http://creativecommons.org/licenses/by-sa/3.0/			</v>
    </spb>
    <spb s="0">
      <v xml:space="preserve">Wikipedia	</v>
      <v xml:space="preserve">CC-BY-SA	</v>
      <v xml:space="preserve">http://en.wikipedia.org/wiki/South_Korea	</v>
      <v xml:space="preserve">http://creativecommons.org/licenses/by-sa/3.0/	</v>
    </spb>
    <spb s="0">
      <v xml:space="preserve">Wikipedia	Cia	</v>
      <v xml:space="preserve">CC-BY-SA		</v>
      <v xml:space="preserve">http://en.wikipedia.org/wiki/South_Korea	https://www.cia.gov/library/publications/the-world-factbook/geos/ks.html?Transportation	</v>
      <v xml:space="preserve">http://creativecommons.org/licenses/by-sa/3.0/		</v>
    </spb>
    <spb s="0">
      <v xml:space="preserve">Wikipedia	Cia	Kosis	travel.state.gov	Sec	</v>
      <v xml:space="preserve">CC-BY-SA					</v>
      <v xml:space="preserve">http://en.wikipedia.org/wiki/South_Korea	https://www.cia.gov/library/publications/the-world-factbook/geos/ks.html?Transportation	http://kosis.kr/statHtml/statHtml.do?orgId=101&amp;tblId=DT_1IN0001_ENG&amp;conn_path=I2&amp;language=en	https://travel.state.gov/content/travel/en/international-travel/International-Travel-Country-Information-Pages/SouthKorea.html	https://www.sec.gov/cgi-bin/browse-edgar?action=getcompany&amp;CIK=0001932335	</v>
      <v xml:space="preserve">http://creativecommons.org/licenses/by-sa/3.0/					</v>
    </spb>
    <spb s="0">
      <v xml:space="preserve">Wikipedia	Cia	travel.state.gov	</v>
      <v xml:space="preserve">CC-BY-SA			</v>
      <v xml:space="preserve">http://en.wikipedia.org/wiki/South_Korea	https://www.cia.gov/library/publications/the-world-factbook/geos/ks.html?Transportation	https://travel.state.gov/content/travel/en/international-travel/International-Travel-Country-Information-Pages/SouthKorea.html	</v>
      <v xml:space="preserve">http://creativecommons.org/licenses/by-sa/3.0/			</v>
    </spb>
    <spb s="0">
      <v xml:space="preserve">Wikipedia	Wikidata	Wikipedia	</v>
      <v xml:space="preserve">CC-BY-SA		CC-BY-SA	</v>
      <v xml:space="preserve">http://en.wikipedia.org/wiki/South_Korea	https://www.wikidata.org/wiki/Q884	http://tg.wikipedia.org/wiki/Қурия	</v>
      <v xml:space="preserve">http://creativecommons.org/licenses/by-sa/3.0/		http://creativecommons.org/licenses/by-sa/3.0/	</v>
    </spb>
    <spb s="21">
      <v>13</v>
      <v>224</v>
      <v>225</v>
      <v>226</v>
      <v>17</v>
      <v>18</v>
      <v>226</v>
      <v>227</v>
      <v>227</v>
      <v>228</v>
      <v>229</v>
      <v>227</v>
      <v>227</v>
      <v>225</v>
      <v>23</v>
      <v>230</v>
      <v>225</v>
      <v>24</v>
      <v>231</v>
      <v>225</v>
      <v>25</v>
      <v>26</v>
      <v>27</v>
      <v>225</v>
      <v>225</v>
      <v>229</v>
      <v>225</v>
      <v>28</v>
      <v>29</v>
      <v>30</v>
      <v>31</v>
      <v>225</v>
      <v>230</v>
      <v>225</v>
      <v>225</v>
      <v>225</v>
      <v>225</v>
      <v>225</v>
      <v>225</v>
      <v>225</v>
      <v>225</v>
      <v>225</v>
      <v>225</v>
      <v>32</v>
    </spb>
    <spb s="12">
      <v>2019</v>
      <v>2017</v>
      <v>square km</v>
      <v>per thousand (2018)</v>
      <v>2019</v>
      <v>2019</v>
      <v>2018</v>
      <v>per liter (2016)</v>
      <v>2019</v>
      <v>years (2018)</v>
      <v>2018</v>
      <v>per thousand (2018)</v>
      <v>2019</v>
      <v>2017</v>
      <v>2016</v>
      <v>2019</v>
      <v>2016</v>
      <v>2017</v>
      <v>kilotons per year (2016)</v>
      <v>deaths per 100,000 (2017)</v>
      <v>kWh (2014)</v>
      <v>2015</v>
      <v>2018</v>
      <v>2012</v>
      <v>2012</v>
      <v>2012</v>
      <v>2012</v>
      <v>2012</v>
      <v>2015</v>
      <v>2012</v>
      <v>2012</v>
      <v>2017</v>
      <v>2017</v>
      <v>2019</v>
    </spb>
    <spb s="0">
      <v xml:space="preserve">Wikipedia	</v>
      <v xml:space="preserve">Public domain	</v>
      <v xml:space="preserve">http://en.wikipedia.org/wiki/South_Korea	</v>
      <v xml:space="preserve">http://en.wikipedia.org/wiki/Public_domain	</v>
    </spb>
    <spb s="0">
      <v xml:space="preserve">Wikipedia	</v>
      <v xml:space="preserve">CC-BY-SA	</v>
      <v xml:space="preserve">http://en.wikipedia.org/wiki/Los_Angeles	</v>
      <v xml:space="preserve">http://creativecommons.org/licenses/by-sa/3.0/	</v>
    </spb>
    <spb s="0">
      <v xml:space="preserve">Wikipedia	Sec	</v>
      <v xml:space="preserve">CC-BY-SA		</v>
      <v xml:space="preserve">http://en.wikipedia.org/wiki/Los_Angeles	https://www.sec.gov/cgi-bin/browse-edgar?action=getcompany&amp;CIK=0001931395	</v>
      <v xml:space="preserve">http://creativecommons.org/licenses/by-sa/3.0/		</v>
    </spb>
    <spb s="0">
      <v xml:space="preserve">Wikipedia	Wikipedia	Sec	</v>
      <v xml:space="preserve">CC-BY-SA	CC-BY-SA		</v>
      <v xml:space="preserve">http://en.wikipedia.org/wiki/Los_Angeles	https://en.wikipedia.org/wiki/Los_Angeles	https://www.sec.gov/cgi-bin/browse-edgar?action=getcompany&amp;CIK=0001931395	</v>
      <v xml:space="preserve">http://creativecommons.org/licenses/by-sa/3.0/	http://creativecommons.org/licenses/by-sa/3.0/		</v>
    </spb>
    <spb s="0">
      <v xml:space="preserve">Wikipedia	Wikipedia	</v>
      <v xml:space="preserve">CC-BY-SA	CC-BY-SA	</v>
      <v xml:space="preserve">http://en.wikipedia.org/wiki/Los_Angeles	http://fr.wikipedia.org/wiki/Los_Angeles	</v>
      <v xml:space="preserve">http://creativecommons.org/licenses/by-sa/3.0/	http://creativecommons.org/licenses/by-sa/3.0/	</v>
    </spb>
    <spb s="13">
      <v>235</v>
      <v>236</v>
      <v>235</v>
      <v>236</v>
      <v>235</v>
      <v>237</v>
      <v>237</v>
      <v>238</v>
    </spb>
    <spb s="0">
      <v xml:space="preserve">Wikipedia	Wikipedia	Wikipedia	Wikipedia	</v>
      <v xml:space="preserve">CC-BY-SA	CC-BY-SA	CC-BY-SA	CC-BY-SA	</v>
      <v xml:space="preserve">http://en.wikipedia.org/wiki/Seattle	http://de.wikipedia.org/wiki/Seattle	http://es.wikipedia.org/wiki/Seattle	http://fr.wikipedia.org/wiki/Seattle	</v>
      <v xml:space="preserve">http://creativecommons.org/licenses/by-sa/3.0/	http://creativecommons.org/licenses/by-sa/3.0/	http://creativecommons.org/licenses/by-sa/3.0/	http://creativecommons.org/licenses/by-sa/3.0/	</v>
    </spb>
    <spb s="0">
      <v xml:space="preserve">Wikipedia	Sec	</v>
      <v xml:space="preserve">CC-BY-SA		</v>
      <v xml:space="preserve">http://en.wikipedia.org/wiki/Seattle	https://www.sec.gov/cgi-bin/browse-edgar?action=getcompany&amp;CIK=0001930189	</v>
      <v xml:space="preserve">http://creativecommons.org/licenses/by-sa/3.0/		</v>
    </spb>
    <spb s="0">
      <v xml:space="preserve">Wikipedia	</v>
      <v xml:space="preserve">CC-BY-SA	</v>
      <v xml:space="preserve">http://en.wikipedia.org/wiki/Seattle	</v>
      <v xml:space="preserve">http://creativecommons.org/licenses/by-sa/3.0/	</v>
    </spb>
    <spb s="0">
      <v xml:space="preserve">Wikipedia	Wikipedia	Sec	</v>
      <v xml:space="preserve">CC-BY-SA	CC-BY-SA		</v>
      <v xml:space="preserve">http://en.wikipedia.org/wiki/Seattle	https://en.wikipedia.org/wiki/Seattle	https://www.sec.gov/cgi-bin/browse-edgar?action=getcompany&amp;CIK=0001930189	</v>
      <v xml:space="preserve">http://creativecommons.org/licenses/by-sa/3.0/	http://creativecommons.org/licenses/by-sa/3.0/		</v>
    </spb>
    <spb s="0">
      <v xml:space="preserve">Wikipedia	Wikipedia	</v>
      <v xml:space="preserve">CC-BY-SA	CC-BY-SA	</v>
      <v xml:space="preserve">http://en.wikipedia.org/wiki/Seattle	https://en.wikipedia.org/wiki/Seattle	</v>
      <v xml:space="preserve">http://creativecommons.org/licenses/by-sa/3.0/	http://creativecommons.org/licenses/by-sa/3.0/	</v>
    </spb>
    <spb s="0">
      <v xml:space="preserve">Wikipedia	Wikipedia	</v>
      <v xml:space="preserve">CC-BY-SA	CC-BY-SA	</v>
      <v xml:space="preserve">http://en.wikipedia.org/wiki/Seattle	http://fr.wikipedia.org/wiki/Seattle	</v>
      <v xml:space="preserve">http://creativecommons.org/licenses/by-sa/3.0/	http://creativecommons.org/licenses/by-sa/3.0/	</v>
    </spb>
    <spb s="13">
      <v>240</v>
      <v>241</v>
      <v>242</v>
      <v>241</v>
      <v>242</v>
      <v>243</v>
      <v>244</v>
      <v>245</v>
    </spb>
    <spb s="2">
      <v>14</v>
      <v>Name</v>
      <v>LearnMoreOnLink</v>
    </spb>
    <spb s="0">
      <v xml:space="preserve">Wikipedia	</v>
      <v xml:space="preserve">CC BY-SA 3.0	</v>
      <v xml:space="preserve">http://nl.wikipedia.org/wiki/Seattle	</v>
      <v xml:space="preserve">https://creativecommons.org/licenses/by-sa/3.0	</v>
    </spb>
    <spb s="0">
      <v xml:space="preserve">Wikipedia	</v>
      <v xml:space="preserve">CC-BY-SA	</v>
      <v xml:space="preserve">http://en.wikipedia.org/wiki/Montreal	</v>
      <v xml:space="preserve">http://creativecommons.org/licenses/by-sa/3.0/	</v>
    </spb>
    <spb s="0">
      <v xml:space="preserve">Wikipedia	Wikidata	Wikidata	Sec	Weathertrends360	</v>
      <v xml:space="preserve">CC-BY-SA					</v>
      <v xml:space="preserve">http://en.wikipedia.org/wiki/Montreal	https://www.wikidata.org/wiki/Q232196	https://www.wikidata.org/wiki/Q340	https://www.sec.gov/cgi-bin/browse-edgar?action=getcompany&amp;CIK=0001913579	https://www.weathertrends360.com/	</v>
      <v xml:space="preserve">http://creativecommons.org/licenses/by-sa/3.0/					</v>
    </spb>
    <spb s="0">
      <v xml:space="preserve">Wikipedia	Wikipedia	Sec	Walkscore	</v>
      <v xml:space="preserve">CC-BY-SA	CC-BY-SA			</v>
      <v xml:space="preserve">http://en.wikipedia.org/wiki/Montreal	https://en.wikipedia.org/wiki/Montreal	https://www.sec.gov/cgi-bin/browse-edgar?action=getcompany&amp;CIK=0001913579	https://www.walkscore.com/CA-QC/Montréal	</v>
      <v xml:space="preserve">http://creativecommons.org/licenses/by-sa/3.0/	http://creativecommons.org/licenses/by-sa/3.0/			</v>
    </spb>
    <spb s="0">
      <v xml:space="preserve">Wikipedia	Walkscore	</v>
      <v xml:space="preserve">CC-BY-SA		</v>
      <v xml:space="preserve">http://en.wikipedia.org/wiki/Montreal	https://www.walkscore.com/CA-QC/Montréal	</v>
      <v xml:space="preserve">http://creativecommons.org/licenses/by-sa/3.0/		</v>
    </spb>
    <spb s="20">
      <v>249</v>
      <v>250</v>
      <v>249</v>
      <v>250</v>
      <v>249</v>
      <v>251</v>
      <v>252</v>
    </spb>
    <spb s="0">
      <v xml:space="preserve">Wikipedia	Cia	travel.state.gov	</v>
      <v xml:space="preserve">CC-BY-SA			</v>
      <v xml:space="preserve">http://en.wikipedia.org/wiki/Canada	https://www.cia.gov/library/publications/the-world-factbook/geos/ca.html?Transportation	https://travel.state.gov/content/travel/en/international-travel/International-Travel-Country-Information-Pages/Canada.html	</v>
      <v xml:space="preserve">http://creativecommons.org/licenses/by-sa/3.0/			</v>
    </spb>
    <spb s="0">
      <v xml:space="preserve">Wikipedia	Wikipedia	Cia	</v>
      <v xml:space="preserve">CC-BY-SA	CC-BY-SA		</v>
      <v xml:space="preserve">http://en.wikipedia.org/wiki/Canada	http://fr.wikipedia.org/wiki/Canada	https://www.cia.gov/library/publications/the-world-factbook/geos/ca.html?Transportation	</v>
      <v xml:space="preserve">http://creativecommons.org/licenses/by-sa/3.0/	http://creativecommons.org/licenses/by-sa/3.0/		</v>
    </spb>
    <spb s="0">
      <v xml:space="preserve">Wikipedia	Wikipedia	Cia	travel.state.gov	Sec	www150.statcan.gc.ca	</v>
      <v xml:space="preserve">CC-BY-SA	CC-BY-SA					</v>
      <v xml:space="preserve">http://en.wikipedia.org/wiki/Canada	https://en.wikipedia.org/wiki/Canada	https://www.cia.gov/library/publications/the-world-factbook/geos/ca.html?Transportation	https://travel.state.gov/content/travel/en/international-travel/International-Travel-Country-Information-Pages/Canada.html	https://www.sec.gov/cgi-bin/browse-edgar?action=getcompany&amp;CIK=0001932778	https://www150.statcan.gc.ca/t1/tbl1/en/tv.action?pid=3410000301	</v>
      <v xml:space="preserve">http://creativecommons.org/licenses/by-sa/3.0/	http://creativecommons.org/licenses/by-sa/3.0/					</v>
    </spb>
    <spb s="0">
      <v xml:space="preserve">Wikipedia	</v>
      <v xml:space="preserve">CC-BY-SA	</v>
      <v xml:space="preserve">http://en.wikipedia.org/wiki/Canada	</v>
      <v xml:space="preserve">http://creativecommons.org/licenses/by-sa/3.0/	</v>
    </spb>
    <spb s="0">
      <v xml:space="preserve">Wikipedia	Cia	</v>
      <v xml:space="preserve">CC-BY-SA		</v>
      <v xml:space="preserve">http://en.wikipedia.org/wiki/Canada	https://www.cia.gov/library/publications/the-world-factbook/geos/ca.html?Transportation	</v>
      <v xml:space="preserve">http://creativecommons.org/licenses/by-sa/3.0/		</v>
    </spb>
    <spb s="0">
      <v xml:space="preserve">Cia	</v>
      <v xml:space="preserve">	</v>
      <v xml:space="preserve">https://www.cia.gov/library/publications/the-world-factbook/geos/ca.html?Transportation	</v>
      <v xml:space="preserve">	</v>
    </spb>
    <spb s="0">
      <v xml:space="preserve">Wikipedia	Wikipedia	Wikidata	</v>
      <v xml:space="preserve">CC-BY-SA	CC-BY-SA		</v>
      <v xml:space="preserve">http://en.wikipedia.org/wiki/Canada	https://en.wikipedia.org/wiki/Canada	https://www.wikidata.org/wiki/Q16	</v>
      <v xml:space="preserve">http://creativecommons.org/licenses/by-sa/3.0/	http://creativecommons.org/licenses/by-sa/3.0/		</v>
    </spb>
    <spb s="0">
      <v xml:space="preserve">Wikipedia	Wikipedia	Cia	travel.state.gov	Sec	</v>
      <v xml:space="preserve">CC-BY-SA	CC-BY-SA				</v>
      <v xml:space="preserve">http://en.wikipedia.org/wiki/Canada	http://fr.wikipedia.org/wiki/Canada	https://www.cia.gov/library/publications/the-world-factbook/geos/ca.html?Transportation	https://travel.state.gov/content/travel/en/international-travel/International-Travel-Country-Information-Pages/Canada.html	https://www.sec.gov/cgi-bin/browse-edgar?action=getcompany&amp;CIK=0001932778	</v>
      <v xml:space="preserve">http://creativecommons.org/licenses/by-sa/3.0/	http://creativecommons.org/licenses/by-sa/3.0/				</v>
    </spb>
    <spb s="14">
      <v>13</v>
      <v>254</v>
      <v>255</v>
      <v>256</v>
      <v>17</v>
      <v>257</v>
      <v>256</v>
      <v>257</v>
      <v>257</v>
      <v>258</v>
      <v>257</v>
      <v>257</v>
      <v>259</v>
      <v>23</v>
      <v>254</v>
      <v>259</v>
      <v>24</v>
      <v>260</v>
      <v>259</v>
      <v>25</v>
      <v>26</v>
      <v>27</v>
      <v>259</v>
      <v>259</v>
      <v>261</v>
      <v>259</v>
      <v>28</v>
      <v>29</v>
      <v>30</v>
      <v>31</v>
      <v>259</v>
      <v>254</v>
      <v>259</v>
      <v>259</v>
      <v>259</v>
      <v>259</v>
      <v>259</v>
      <v>259</v>
      <v>259</v>
      <v>259</v>
      <v>259</v>
      <v>259</v>
      <v>32</v>
    </spb>
    <spb s="12">
      <v>2019</v>
      <v>2019</v>
      <v>square km</v>
      <v>per thousand (2018)</v>
      <v>2021</v>
      <v>2019</v>
      <v>2018</v>
      <v>per liter (2016)</v>
      <v>2019</v>
      <v>years (2018)</v>
      <v>2018</v>
      <v>per thousand (2018)</v>
      <v>2019</v>
      <v>2017</v>
      <v>2016</v>
      <v>2019</v>
      <v>2016</v>
      <v>2017</v>
      <v>kilotons per year (2016)</v>
      <v>deaths per 100,000 (2017)</v>
      <v>kWh (2014)</v>
      <v>2015</v>
      <v>2018</v>
      <v>2013</v>
      <v>2013</v>
      <v>2013</v>
      <v>2013</v>
      <v>2013</v>
      <v>2015</v>
      <v>2013</v>
      <v>2013</v>
      <v>2017</v>
      <v>2017</v>
      <v>2019</v>
    </spb>
    <spb s="0">
      <v xml:space="preserve">Wikipedia	</v>
      <v xml:space="preserve">Public domain	</v>
      <v xml:space="preserve">http://en.wikipedia.org/wiki/Canada	</v>
      <v xml:space="preserve">http://en.wikipedia.org/wiki/Public_domain	</v>
    </spb>
    <spb s="0">
      <v xml:space="preserve">Wikipedia	</v>
      <v xml:space="preserve">CC-BY-SA	</v>
      <v xml:space="preserve">http://en.wikipedia.org/wiki/Sydney	</v>
      <v xml:space="preserve">http://creativecommons.org/licenses/by-sa/3.0/	</v>
    </spb>
    <spb s="0">
      <v xml:space="preserve">Wikipedia	Walkscore	</v>
      <v xml:space="preserve">CC-BY-SA		</v>
      <v xml:space="preserve">http://en.wikipedia.org/wiki/Sydney	https://www.walkscore.com/AU-NSW/Sydney	</v>
      <v xml:space="preserve">http://creativecommons.org/licenses/by-sa/3.0/		</v>
    </spb>
    <spb s="0">
      <v xml:space="preserve">Wikipedia	Wikipedia	Walkscore	</v>
      <v xml:space="preserve">CC-BY-SA	CC-BY-SA		</v>
      <v xml:space="preserve">http://en.wikipedia.org/wiki/Sydney	https://en.wikipedia.org/wiki/Sydney	https://www.walkscore.com/AU-NSW/Sydney	</v>
      <v xml:space="preserve">http://creativecommons.org/licenses/by-sa/3.0/	http://creativecommons.org/licenses/by-sa/3.0/		</v>
    </spb>
    <spb s="13">
      <v>265</v>
      <v>266</v>
      <v>265</v>
      <v>266</v>
      <v>265</v>
      <v>267</v>
      <v>267</v>
      <v>265</v>
    </spb>
    <spb s="2">
      <v>15</v>
      <v>Name</v>
      <v>LearnMoreOnLink</v>
    </spb>
    <spb s="0">
      <v xml:space="preserve">Wikipedia	Cia	travel.state.gov	</v>
      <v xml:space="preserve">CC-BY-SA			</v>
      <v xml:space="preserve">http://en.wikipedia.org/wiki/Australia	https://www.cia.gov/library/publications/the-world-factbook/geos/as.html?Transportation	https://travel.state.gov/content/travel/en/international-travel/International-Travel-Country-Information-Pages/Australia.html	</v>
      <v xml:space="preserve">http://creativecommons.org/licenses/by-sa/3.0/			</v>
    </spb>
    <spb s="0">
      <v xml:space="preserve">Wikipedia	Cia	</v>
      <v xml:space="preserve">CC-BY-SA		</v>
      <v xml:space="preserve">http://es.wikipedia.org/wiki/Australia	https://www.cia.gov/library/publications/the-world-factbook/geos/as.html?Transportation	</v>
      <v xml:space="preserve">http://creativecommons.org/licenses/by-sa/3.0/		</v>
    </spb>
    <spb s="0">
      <v xml:space="preserve">Wikipedia	Wikipedia	Cia	datapacks.censusdata.abs.gov.au	travel.state.gov	Sec	Tasteatlas	</v>
      <v xml:space="preserve">CC-BY-SA	CC-BY-SA						</v>
      <v xml:space="preserve">http://en.wikipedia.org/wiki/Australia	https://en.wikipedia.org/wiki/Australia	https://www.cia.gov/library/publications/the-world-factbook/geos/as.html?Transportation	https://datapacks.censusdata.abs.gov.au/datapacks/#G46B	https://travel.state.gov/content/travel/en/international-travel/International-Travel-Country-Information-Pages/Australia.html	https://www.sec.gov/cgi-bin/browse-edgar?action=getcompany&amp;CIK=0001929184	https://www.tasteatlas.com/australia	</v>
      <v xml:space="preserve">http://creativecommons.org/licenses/by-sa/3.0/	http://creativecommons.org/licenses/by-sa/3.0/						</v>
    </spb>
    <spb s="0">
      <v xml:space="preserve">Wikipedia	</v>
      <v xml:space="preserve">CC-BY-SA	</v>
      <v xml:space="preserve">http://en.wikipedia.org/wiki/Australia	</v>
      <v xml:space="preserve">http://creativecommons.org/licenses/by-sa/3.0/	</v>
    </spb>
    <spb s="0">
      <v xml:space="preserve">Wikipedia	Cia	</v>
      <v xml:space="preserve">CC-BY-SA		</v>
      <v xml:space="preserve">http://en.wikipedia.org/wiki/Australia	https://www.cia.gov/library/publications/the-world-factbook/geos/as.html?Transportation	</v>
      <v xml:space="preserve">http://creativecommons.org/licenses/by-sa/3.0/		</v>
    </spb>
    <spb s="0">
      <v xml:space="preserve">Cia	</v>
      <v xml:space="preserve">	</v>
      <v xml:space="preserve">https://www.cia.gov/library/publications/the-world-factbook/geos/as.html?Transportation	</v>
      <v xml:space="preserve">	</v>
    </spb>
    <spb s="0">
      <v xml:space="preserve">Wikipedia	Wikipedia	</v>
      <v xml:space="preserve">CC-BY-SA	CC-BY-SA	</v>
      <v xml:space="preserve">http://en.wikipedia.org/wiki/Australia	http://vi.wikipedia.org/wiki/Ức	</v>
      <v xml:space="preserve">http://creativecommons.org/licenses/by-sa/3.0/	http://creativecommons.org/licenses/by-sa/3.0/	</v>
    </spb>
    <spb s="0">
      <v xml:space="preserve">Wikipedia	Wikipedia	Wikipedia	Cia	travel.state.gov	</v>
      <v xml:space="preserve">CC-BY-SA	CC-BY-SA	CC-BY-SA			</v>
      <v xml:space="preserve">http://en.wikipedia.org/wiki/Australia	https://en.wikipedia.org/wiki/Australia	http://fr.wikipedia.org/wiki/Australie	https://www.cia.gov/library/publications/the-world-factbook/geos/as.html?Transportation	https://travel.state.gov/content/travel/en/international-travel/International-Travel-Country-Information-Pages/Australia.html	</v>
      <v xml:space="preserve">http://creativecommons.org/licenses/by-sa/3.0/	http://creativecommons.org/licenses/by-sa/3.0/	http://creativecommons.org/licenses/by-sa/3.0/			</v>
    </spb>
    <spb s="14">
      <v>13</v>
      <v>270</v>
      <v>271</v>
      <v>272</v>
      <v>17</v>
      <v>273</v>
      <v>272</v>
      <v>273</v>
      <v>273</v>
      <v>274</v>
      <v>273</v>
      <v>273</v>
      <v>275</v>
      <v>23</v>
      <v>270</v>
      <v>275</v>
      <v>24</v>
      <v>276</v>
      <v>275</v>
      <v>25</v>
      <v>26</v>
      <v>27</v>
      <v>275</v>
      <v>275</v>
      <v>277</v>
      <v>275</v>
      <v>28</v>
      <v>29</v>
      <v>30</v>
      <v>31</v>
      <v>275</v>
      <v>270</v>
      <v>275</v>
      <v>275</v>
      <v>275</v>
      <v>275</v>
      <v>275</v>
      <v>275</v>
      <v>275</v>
      <v>275</v>
      <v>275</v>
      <v>275</v>
      <v>32</v>
    </spb>
    <spb s="12">
      <v>2019</v>
      <v>2019</v>
      <v>square km</v>
      <v>per thousand (2018)</v>
      <v>2021</v>
      <v>2019</v>
      <v>2018</v>
      <v>per liter (2016)</v>
      <v>2019</v>
      <v>years (2018)</v>
      <v>2018</v>
      <v>per thousand (2018)</v>
      <v>2019</v>
      <v>2017</v>
      <v>2016</v>
      <v>2019</v>
      <v>2016</v>
      <v>2017</v>
      <v>kilotons per year (2016)</v>
      <v>deaths per 100,000 (2017)</v>
      <v>kWh (2014)</v>
      <v>2015</v>
      <v>2019</v>
      <v>2014</v>
      <v>2014</v>
      <v>2014</v>
      <v>2014</v>
      <v>2014</v>
      <v>2014</v>
      <v>2014</v>
      <v>2014</v>
      <v>2017</v>
      <v>2017</v>
      <v>2019</v>
    </spb>
    <spb s="0">
      <v xml:space="preserve">Wikipedia	</v>
      <v xml:space="preserve">Public domain	</v>
      <v xml:space="preserve">http://en.wikipedia.org/wiki/Australia	</v>
      <v xml:space="preserve">http://en.wikipedia.org/wiki/Public_domain	</v>
    </spb>
    <spb s="0">
      <v xml:space="preserve">Wikipedia	</v>
      <v xml:space="preserve">CC-BY-SA	</v>
      <v xml:space="preserve">http://en.wikipedia.org/wiki/Dubai	</v>
      <v xml:space="preserve">http://creativecommons.org/licenses/by-sa/3.0/	</v>
    </spb>
    <spb s="0">
      <v xml:space="preserve">Wikipedia	Sec	Weathertrends360	</v>
      <v xml:space="preserve">CC-BY-SA			</v>
      <v xml:space="preserve">http://en.wikipedia.org/wiki/Dubai	https://www.sec.gov/cgi-bin/browse-edgar?action=getcompany&amp;CIK=0001925178	https://www.weathertrends360.com/	</v>
      <v xml:space="preserve">http://creativecommons.org/licenses/by-sa/3.0/			</v>
    </spb>
    <spb s="0">
      <v xml:space="preserve">Wikipedia	Wikipedia	Sec	</v>
      <v xml:space="preserve">CC-BY-SA	CC-BY-SA		</v>
      <v xml:space="preserve">http://en.wikipedia.org/wiki/Dubai	https://en.wikipedia.org/wiki/Dubai	https://www.sec.gov/cgi-bin/browse-edgar?action=getcompany&amp;CIK=0001925178	</v>
      <v xml:space="preserve">http://creativecommons.org/licenses/by-sa/3.0/	http://creativecommons.org/licenses/by-sa/3.0/		</v>
    </spb>
    <spb s="15">
      <v>281</v>
      <v>282</v>
      <v>281</v>
      <v>282</v>
      <v>281</v>
      <v>281</v>
      <v>283</v>
    </spb>
    <spb s="2">
      <v>16</v>
      <v>Name</v>
      <v>LearnMoreOnLink</v>
    </spb>
    <spb s="0">
      <v xml:space="preserve">Wikipedia	Cia	travel.state.gov	</v>
      <v xml:space="preserve">CC-BY-SA			</v>
      <v xml:space="preserve">http://en.wikipedia.org/wiki/United_Arab_Emirates	https://www.cia.gov/library/publications/the-world-factbook/geos/ae.html?Transportation	https://travel.state.gov/content/travel/en/international-travel/International-Travel-Country-Information-Pages/UnitedArabEmirates.html	</v>
      <v xml:space="preserve">http://creativecommons.org/licenses/by-sa/3.0/			</v>
    </spb>
    <spb s="0">
      <v xml:space="preserve">Wikipedia	Cia	</v>
      <v xml:space="preserve">CC-BY-SA		</v>
      <v xml:space="preserve">http://en.wikipedia.org/wiki/United_Arab_Emirates	https://www.cia.gov/library/publications/the-world-factbook/geos/ae.html?Transportation	</v>
      <v xml:space="preserve">http://creativecommons.org/licenses/by-sa/3.0/		</v>
    </spb>
    <spb s="0">
      <v xml:space="preserve">Wikipedia	Wikipedia	travel.state.gov	Sec	</v>
      <v xml:space="preserve">CC-BY-SA	CC-BY-SA			</v>
      <v xml:space="preserve">http://en.wikipedia.org/wiki/United_Arab_Emirates	https://en.wikipedia.org/wiki/United_Arab_Emirates	https://travel.state.gov/content/travel/en/international-travel/International-Travel-Country-Information-Pages/UnitedArabEmirates.html	https://www.sec.gov/cgi-bin/browse-edgar?action=getcompany&amp;CIK=0001931913	</v>
      <v xml:space="preserve">http://creativecommons.org/licenses/by-sa/3.0/	http://creativecommons.org/licenses/by-sa/3.0/			</v>
    </spb>
    <spb s="0">
      <v xml:space="preserve">Wikipedia	</v>
      <v xml:space="preserve">CC-BY-SA	</v>
      <v xml:space="preserve">http://en.wikipedia.org/wiki/United_Arab_Emirates	</v>
      <v xml:space="preserve">http://creativecommons.org/licenses/by-sa/3.0/	</v>
    </spb>
    <spb s="0">
      <v xml:space="preserve">Wikipedia	travel.state.gov	Sec	</v>
      <v xml:space="preserve">CC-BY-SA			</v>
      <v xml:space="preserve">http://en.wikipedia.org/wiki/United_Arab_Emirates	https://travel.state.gov/content/travel/en/international-travel/International-Travel-Country-Information-Pages/UnitedArabEmirates.html	https://www.sec.gov/cgi-bin/browse-edgar?action=getcompany&amp;CIK=0001931913	</v>
      <v xml:space="preserve">http://creativecommons.org/licenses/by-sa/3.0/			</v>
    </spb>
    <spb s="0">
      <v xml:space="preserve">travel.state.gov	</v>
      <v xml:space="preserve">	</v>
      <v xml:space="preserve">https://travel.state.gov/content/travel/en/international-travel/International-Travel-Country-Information-Pages/UnitedArabEmirates.html	</v>
      <v xml:space="preserve">	</v>
    </spb>
    <spb s="0">
      <v xml:space="preserve">Cia	</v>
      <v xml:space="preserve">	</v>
      <v xml:space="preserve">https://www.cia.gov/library/publications/the-world-factbook/geos/ae.html?Transportation	</v>
      <v xml:space="preserve">	</v>
    </spb>
    <spb s="0">
      <v xml:space="preserve">Wikipedia	Cia	travel.state.gov	Sec	</v>
      <v xml:space="preserve">CC-BY-SA				</v>
      <v xml:space="preserve">http://en.wikipedia.org/wiki/United_Arab_Emirates	https://www.cia.gov/library/publications/the-world-factbook/geos/ae.html?Transportation	https://travel.state.gov/content/travel/en/international-travel/International-Travel-Country-Information-Pages/UnitedArabEmirates.html	https://www.sec.gov/cgi-bin/browse-edgar?action=getcompany&amp;CIK=0001931913	</v>
      <v xml:space="preserve">http://creativecommons.org/licenses/by-sa/3.0/				</v>
    </spb>
    <spb s="26">
      <v>13</v>
      <v>286</v>
      <v>287</v>
      <v>288</v>
      <v>17</v>
      <v>18</v>
      <v>288</v>
      <v>289</v>
      <v>289</v>
      <v>287</v>
      <v>290</v>
      <v>289</v>
      <v>291</v>
      <v>292</v>
      <v>23</v>
      <v>286</v>
      <v>292</v>
      <v>24</v>
      <v>289</v>
      <v>292</v>
      <v>25</v>
      <v>26</v>
      <v>27</v>
      <v>292</v>
      <v>292</v>
      <v>293</v>
      <v>292</v>
      <v>28</v>
      <v>29</v>
      <v>30</v>
      <v>31</v>
      <v>292</v>
      <v>286</v>
      <v>292</v>
      <v>292</v>
      <v>292</v>
      <v>292</v>
      <v>292</v>
      <v>292</v>
      <v>292</v>
      <v>292</v>
      <v>292</v>
      <v>292</v>
      <v>32</v>
    </spb>
    <spb s="12">
      <v>2019</v>
      <v>2019</v>
      <v>square km</v>
      <v>per thousand (2018)</v>
      <v>2019</v>
      <v>2019</v>
      <v>2018</v>
      <v>per liter (2016)</v>
      <v>2019</v>
      <v>years (2018)</v>
      <v>2018</v>
      <v>per thousand (2018)</v>
      <v>2019</v>
      <v>2017</v>
      <v>2016</v>
      <v>2019</v>
      <v>2016</v>
      <v>2018</v>
      <v>kilotons per year (2016)</v>
      <v>deaths per 100,000 (2017)</v>
      <v>kWh (2014)</v>
      <v>2014</v>
      <v>2019</v>
      <v>2014</v>
      <v>2014</v>
      <v>2014</v>
      <v>2014</v>
      <v>2014</v>
      <v>2015</v>
      <v>2014</v>
      <v>2014</v>
      <v>2017</v>
      <v>2016</v>
      <v>2019</v>
    </spb>
  </spbData>
</supportingPropertyBags>
</file>

<file path=xl/richData/rdsupportingpropertybagstructure.xml><?xml version="1.0" encoding="utf-8"?>
<spbStructures xmlns="http://schemas.microsoft.com/office/spreadsheetml/2017/richdata2" count="29">
  <s>
    <k n="SourceText" t="s"/>
    <k n="LicenseText" t="s"/>
    <k n="SourceAddress" t="s"/>
    <k n="LicenseAddress" t="s"/>
  </s>
  <s>
    <k n="Area" t="spb"/>
    <k n="Name" t="spb"/>
    <k n="UniqueName" t="spb"/>
    <k n="Description" t="spb"/>
    <k n="Country/region" t="spb"/>
  </s>
  <s>
    <k n="^Order" t="spba"/>
    <k n="TitleProperty" t="s"/>
    <k n="SubTitleProperty" t="s"/>
  </s>
  <s>
    <k n="ShowInCardView" t="b"/>
    <k n="ShowInDotNotation" t="b"/>
    <k n="ShowInAutoComplete" t="b"/>
  </s>
  <s>
    <k n="ShowInDotNotation" t="b"/>
    <k n="ShowInAutoComplete" t="b"/>
  </s>
  <s>
    <k n="UniqueName" t="spb"/>
    <k n="VDPID/VSID" t="spb"/>
    <k n="Description" t="spb"/>
    <k n="LearnMoreOnLink" t="spb"/>
  </s>
  <s>
    <k n="Name" t="i"/>
    <k n="Description" t="i"/>
  </s>
  <s>
    <k n="link" t="s"/>
    <k n="logo" t="s"/>
    <k n="name" t="s"/>
  </s>
  <s>
    <k n="Area" t="s"/>
    <k n="Population" t="s"/>
  </s>
  <s>
    <k n="_Self" t="i"/>
  </s>
  <s>
    <k n="CPI" t="spb"/>
    <k n="GDP" t="spb"/>
    <k n="Area" t="spb"/>
    <k n="Name" t="spb"/>
    <k n="Birth rate" t="spb"/>
    <k n="Population" t="spb"/>
    <k n="UniqueName" t="spb"/>
    <k n="Description" t="spb"/>
    <k n="Abbreviation" t="spb"/>
    <k n="Calling code" t="spb"/>
    <k n="Largest city" t="spb"/>
    <k n="Minimum wage"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Name" t="i"/>
    <k n="Image" t="i"/>
    <k n="Description" t="i"/>
  </s>
  <s>
    <k n="CPI" t="s"/>
    <k n="GDP" t="s"/>
    <k n="Area" t="s"/>
    <k n="Birth rate" t="s"/>
    <k n="Population" t="s"/>
    <k n="CPI Change (%)" t="s"/>
    <k n="Fertility rate" t="s"/>
    <k n="Gasoline price" t="s"/>
    <k n="Total tax rate" t="s"/>
    <k n="Life expectancy" t="s"/>
    <k n="Tax revenue (%)" t="s"/>
    <k n="Infant mortality" t="s"/>
    <k n="Urban population" t="s"/>
    <k n="Armed forces size" t="s"/>
    <k n="Forested area (%)" t="s"/>
    <k n="Unemployment rate" t="s"/>
    <k n="Agricultural land (%)" t="s"/>
    <k n="Physicians per thousand" t="s"/>
    <k n="Carbon dioxide emissions" t="s"/>
    <k n="Maternal mortality ratio" t="s"/>
    <k n="Electric power consumption" t="s"/>
    <k n="Fossil fuel energy consumption" t="s"/>
    <k n="Market cap of listed companies"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primary education enrollment (%)" t="s"/>
    <k n="Gross tertiary education enrollment (%)" t="s"/>
    <k n="Population: Labor force participation (%)" t="s"/>
  </s>
  <s>
    <k n="Area" t="spb"/>
    <k n="Name" t="spb"/>
    <k n="Population" t="spb"/>
    <k n="UniqueName" t="spb"/>
    <k n="Description" t="spb"/>
    <k n="Country/region" t="spb"/>
    <k n="Admin Division 1 (State/province/other)" t="spb"/>
    <k n="Admin Division 2 (County/district/other)" t="spb"/>
  </s>
  <s>
    <k n="CPI" t="spb"/>
    <k n="GDP" t="spb"/>
    <k n="Area" t="spb"/>
    <k n="Name" t="spb"/>
    <k n="Birth rate" t="spb"/>
    <k n="Population" t="spb"/>
    <k n="UniqueName" t="spb"/>
    <k n="Description" t="spb"/>
    <k n="Abbreviation" t="spb"/>
    <k n="Calling code" t="spb"/>
    <k n="Minimum wage" t="spb"/>
    <k n="Currency cod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Area" t="spb"/>
    <k n="Name" t="spb"/>
    <k n="Population" t="spb"/>
    <k n="UniqueName" t="spb"/>
    <k n="Description" t="spb"/>
    <k n="Abbreviation" t="spb"/>
    <k n="Country/region" t="spb"/>
  </s>
  <s>
    <k n="Area" t="spb"/>
    <k n="Name" t="spb"/>
    <k n="Latitude" t="spb"/>
    <k n="Longitude" t="spb"/>
    <k n="Population" t="spb"/>
    <k n="UniqueName" t="spb"/>
    <k n="Description" t="spb"/>
    <k n="Country/region" t="spb"/>
    <k n="Admin Division 1 (State/province/other)" t="spb"/>
  </s>
  <s>
    <k n="CPI" t="spb"/>
    <k n="GDP" t="spb"/>
    <k n="Area" t="spb"/>
    <k n="Name" t="spb"/>
    <k n="Birth rate" t="spb"/>
    <k n="Population" t="spb"/>
    <k n="UniqueName" t="spb"/>
    <k n="Description" t="spb"/>
    <k n="Abbreviation" t="spb"/>
    <k n="Calling code" t="spb"/>
    <k n="Largest city" t="spb"/>
    <k n="Minimum wage" t="spb"/>
    <k n="Currency code" t="spb"/>
    <k n="Official name" t="spb"/>
    <k n="CPI Change (%)" t="spb"/>
    <k n="Fertility rate" t="spb"/>
    <k n="Gasoline price" t="spb"/>
    <k n="Total tax rate"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Birth rate" t="spb"/>
    <k n="Population" t="spb"/>
    <k n="UniqueName" t="spb"/>
    <k n="Description" t="spb"/>
    <k n="Abbreviation" t="spb"/>
    <k n="Calling code" t="spb"/>
    <k n="Minimum wage" t="spb"/>
    <k n="Official name" t="spb"/>
    <k n="CPI Change (%)" t="spb"/>
    <k n="Fertility rate" t="spb"/>
    <k n="Gasoline price" t="spb"/>
    <k n="Total tax rate" t="spb"/>
    <k n="Life expectancy" t="spb"/>
    <k n="National anthem" t="spb"/>
    <k n="Urban population" t="spb"/>
    <k n="Unemployment rate" t="spb"/>
    <k n="Capital/Major City" t="spb"/>
    <k n="Agricultural land (%)" t="spb"/>
    <k n="Physicians per thousand" t="spb"/>
    <k n="Carbon dioxide emissions" t="spb"/>
    <k n="Electric power consumption" t="spb"/>
    <k n="Fossil fuel energy consumption" t="spb"/>
    <k n="Market cap of listed companies" t="spb"/>
    <k n="Gross primary education enrollment (%)" t="spb"/>
    <k n="Gross tertiary education enrollment (%)" t="spb"/>
    <k n="Population: Labor force participation (%)" t="spb"/>
  </s>
  <s>
    <k n="CPI" t="s"/>
    <k n="GDP" t="s"/>
    <k n="Area" t="s"/>
    <k n="Birth rate" t="s"/>
    <k n="Population" t="s"/>
    <k n="CPI Change (%)" t="s"/>
    <k n="Fertility rate" t="s"/>
    <k n="Gasoline price" t="s"/>
    <k n="Total tax rate" t="s"/>
    <k n="Life expectancy" t="s"/>
    <k n="Urban population" t="s"/>
    <k n="Unemployment rate" t="s"/>
    <k n="Agricultural land (%)" t="s"/>
    <k n="Physicians per thousand" t="s"/>
    <k n="Carbon dioxide emissions" t="s"/>
    <k n="Electric power consumption" t="s"/>
    <k n="Fossil fuel energy consumption" t="s"/>
    <k n="Market cap of listed companies" t="s"/>
    <k n="Gross primary education enrollment (%)" t="s"/>
    <k n="Gross tertiary education enrollment (%)" t="s"/>
    <k n="Population: Labor force participation (%)" t="s"/>
  </s>
  <s>
    <k n="Area" t="spb"/>
    <k n="Name" t="spb"/>
    <k n="Population" t="spb"/>
    <k n="UniqueName" t="spb"/>
    <k n="Description" t="spb"/>
    <k n="Country/region" t="spb"/>
    <k n="Admin Division 1 (State/province/other)" t="spb"/>
  </s>
  <s>
    <k n="CPI" t="spb"/>
    <k n="GDP" t="spb"/>
    <k n="Area" t="spb"/>
    <k n="Name" t="spb"/>
    <k n="Birth rate" t="spb"/>
    <k n="Population" t="spb"/>
    <k n="UniqueName" t="spb"/>
    <k n="Description" t="spb"/>
    <k n="Abbreviation" t="spb"/>
    <k n="Calling code" t="spb"/>
    <k n="Largest city" t="spb"/>
    <k n="Minimum wage" t="spb"/>
    <k n="Currency cod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Area" t="spb"/>
    <k n="Name" t="spb"/>
    <k n="Latitude" t="spb"/>
    <k n="Longitude" t="spb"/>
    <k n="Population" t="spb"/>
    <k n="UniqueName" t="spb"/>
    <k n="Description" t="spb"/>
    <k n="Country/region" t="spb"/>
    <k n="Admin Division 1 (State/province/other)" t="spb"/>
    <k n="Admin Division 2 (County/district/other)" t="spb"/>
  </s>
  <s>
    <k n="CPI" t="spb"/>
    <k n="GDP" t="spb"/>
    <k n="Area" t="spb"/>
    <k n="Name" t="spb"/>
    <k n="Birth rate" t="spb"/>
    <k n="Population" t="spb"/>
    <k n="UniqueName" t="spb"/>
    <k n="Description" t="spb"/>
    <k n="Abbreviation" t="spb"/>
    <k n="Calling code" t="spb"/>
    <k n="Largest city" t="spb"/>
    <k n="Minimum wage" t="spb"/>
    <k n="Currency code" t="spb"/>
    <k n="Fertility rate" t="spb"/>
    <k n="Gasoline price" t="spb"/>
    <k n="Total tax rate" t="spb"/>
    <k n="Life expectancy" t="spb"/>
    <k n="National anthem" t="spb"/>
    <k n="Tax revenue (%)" t="spb"/>
    <k n="Infant mortality" t="spb"/>
    <k n="Urban population" t="spb"/>
    <k n="Armed forces size" t="spb"/>
    <k n="Forested area (%)"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Birth rate" t="spb"/>
    <k n="UniqueName" t="spb"/>
    <k n="Description" t="spb"/>
    <k n="Abbreviation" t="spb"/>
    <k n="Calling code" t="spb"/>
    <k n="Minimum wage" t="spb"/>
    <k n="Currency cod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Birth rate" t="spb"/>
    <k n="Population" t="spb"/>
    <k n="UniqueName" t="spb"/>
    <k n="Description" t="spb"/>
    <k n="Abbreviation" t="spb"/>
    <k n="Calling code"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Birth rate" t="spb"/>
    <k n="Population" t="spb"/>
    <k n="UniqueName" t="spb"/>
    <k n="Description" t="spb"/>
    <k n="Abbreviation" t="spb"/>
    <k n="Calling code" t="spb"/>
    <k n="Largest city"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Area" t="spb"/>
    <k n="Name" t="spb"/>
    <k n="Households" t="spb"/>
    <k n="Population" t="spb"/>
    <k n="UniqueName" t="spb"/>
    <k n="Description" t="spb"/>
    <k n="Abbreviation" t="spb"/>
    <k n="Housing units" t="spb"/>
    <k n="Country/region" t="spb"/>
  </s>
  <s>
    <k n="Area" t="s"/>
    <k n="Households" t="s"/>
    <k n="Population" t="s"/>
    <k n="Housing units"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6">
    <x:dxf>
      <x:numFmt numFmtId="3" formatCode="#,##0"/>
    </x:dxf>
    <x:dxf>
      <x:numFmt numFmtId="0" formatCode="General"/>
    </x:dxf>
    <x:dxf>
      <x:numFmt numFmtId="2" formatCode="0.00"/>
    </x:dxf>
    <x:dxf>
      <x:numFmt numFmtId="14" formatCode="0.00%"/>
    </x:dxf>
    <x:dxf>
      <x:numFmt numFmtId="4" formatCode="#,##0.00"/>
    </x:dxf>
    <x:dxf>
      <x:numFmt numFmtId="1" formatCode="0"/>
    </x:dxf>
  </dxfs>
  <richProperties>
    <rPr n="IsTitleField" t="b"/>
    <rPr n="RequiresInlineAttribution" t="b"/>
    <rPr n="NumberFormat" t="s"/>
    <rPr n="IsHeroField" t="b"/>
  </richProperties>
  <richStyles>
    <rSty>
      <rpv i="0">1</rpv>
    </rSty>
    <rSty>
      <rpv i="1">1</rpv>
    </rSty>
    <rSty dxfid="0">
      <rpv i="2">#,##0</rpv>
    </rSty>
    <rSty dxfid="1">
      <rpv i="2">0.0000</rpv>
    </rSty>
    <rSty>
      <rpv i="3">1</rpv>
    </rSty>
    <rSty dxfid="3">
      <rpv i="2">0.0%</rpv>
    </rSty>
    <rSty dxfid="2">
      <rpv i="2">0.00</rpv>
    </rSty>
    <rSty dxfid="5">
      <rpv i="2">0</rpv>
    </rSty>
    <rSty dxfid="4">
      <rpv i="2">#,##0.00</rpv>
    </rSty>
    <rSty dxfid="1">
      <rpv i="2">0.0</rpv>
    </rSty>
    <rSty dxfid="1">
      <rpv i="2">_([$$-en-US]* #,##0.00_);_([$$-en-US]* (#,##0.00);_([$$-en-US]* "-"??_);_(@_)</rpv>
    </rSty>
    <rSty dxfid="1">
      <rpv i="2">_([$$-en-US]* #,##0_);_([$$-en-US]* (#,##0);_([$$-en-US]* "-"_);_(@_)</rpv>
    </rSty>
    <rSty dxfid="3"/>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DF0167D-33C3-4478-A61C-A8DB5D376681}" name="Nodes" displayName="Nodes" ref="A2:F102" totalsRowShown="0" headerRowDxfId="38" dataDxfId="37">
  <autoFilter ref="A2:F102" xr:uid="{3DF0167D-33C3-4478-A61C-A8DB5D376681}">
    <filterColumn colId="0">
      <filters>
        <filter val="15"/>
        <filter val="171"/>
        <filter val="20"/>
        <filter val="21"/>
        <filter val="224"/>
        <filter val="26"/>
        <filter val="29"/>
        <filter val="35"/>
        <filter val="4"/>
        <filter val="5"/>
        <filter val="51"/>
        <filter val="61"/>
        <filter val="70"/>
        <filter val="82"/>
        <filter val="85"/>
        <filter val="9"/>
      </filters>
    </filterColumn>
  </autoFilter>
  <tableColumns count="6">
    <tableColumn id="1" xr3:uid="{4382011D-6C2D-4AAF-A91B-0B8A87FDF98E}" name="]" dataDxfId="36"/>
    <tableColumn id="2" xr3:uid="{0743F4C5-E5B4-4686-9AAD-5D98E937E491}" name="Origin" dataDxfId="35"/>
    <tableColumn id="3" xr3:uid="{EB4A6812-650E-4975-805B-BF3FE5CB63C8}" name="Destination" dataDxfId="34"/>
    <tableColumn id="4" xr3:uid="{54E7AAF9-1E2A-41DC-96CE-ABB61209E85A}" name="Mode" dataDxfId="33"/>
    <tableColumn id="5" xr3:uid="{41F2A05C-11EC-4613-A9B3-F10CDA060966}" name="Cost" dataDxfId="32" dataCellStyle="Currency"/>
    <tableColumn id="6" xr3:uid="{8869AE9B-492B-465D-8D3E-6F999611A5C9}" name="Emissions" dataDxfId="31" dataCellStyle="Comma"/>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41AC38F-CE4C-42F8-A498-B2342ABA6D81}" name="Nodes3" displayName="Nodes3" ref="A2:F102" totalsRowShown="0">
  <autoFilter ref="A2:F102" xr:uid="{3DF0167D-33C3-4478-A61C-A8DB5D376681}">
    <filterColumn colId="0">
      <filters>
        <filter val="1"/>
        <filter val="10"/>
        <filter val="11"/>
        <filter val="14"/>
        <filter val="145"/>
        <filter val="162"/>
        <filter val="20"/>
        <filter val="21"/>
        <filter val="230"/>
        <filter val="31"/>
        <filter val="4"/>
        <filter val="58"/>
        <filter val="6"/>
        <filter val="60"/>
        <filter val="7"/>
        <filter val="70"/>
        <filter val="80"/>
        <filter val="84"/>
        <filter val="9"/>
      </filters>
    </filterColumn>
  </autoFilter>
  <tableColumns count="6">
    <tableColumn id="1" xr3:uid="{663C6FFB-48D0-496D-87BD-AC07DFC688EC}" name="Units"/>
    <tableColumn id="2" xr3:uid="{D4565627-BBEA-4979-B33A-911CD62F9804}" name="Origin"/>
    <tableColumn id="3" xr3:uid="{E51BC20A-79BD-4180-BC8A-F5AC2D3F8704}" name="Destination"/>
    <tableColumn id="4" xr3:uid="{B579207D-7157-4D8F-BECF-A95816FD6F22}" name="Mode"/>
    <tableColumn id="5" xr3:uid="{1F16BC2E-CE38-4D18-87F0-FBA7C97D42EA}" name="Cost" dataDxfId="30" dataCellStyle="Currency"/>
    <tableColumn id="6" xr3:uid="{59D59C15-2D8E-41ED-8EF8-4173A29456FE}" name="Emissions" dataDxfId="29" dataCellStyle="Comma"/>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7D7FCCC-78F1-4424-823A-3B6E7C731692}" name="Nodes345" displayName="Nodes345" ref="A2:F102" totalsRowShown="0" headerRowDxfId="28" dataDxfId="27">
  <autoFilter ref="A2:F102" xr:uid="{3DF0167D-33C3-4478-A61C-A8DB5D376681}">
    <filterColumn colId="0">
      <filters>
        <filter val="1"/>
        <filter val="10"/>
        <filter val="156"/>
        <filter val="17"/>
        <filter val="20"/>
        <filter val="21"/>
        <filter val="230"/>
        <filter val="24"/>
        <filter val="26"/>
        <filter val="3"/>
        <filter val="33"/>
        <filter val="4"/>
        <filter val="44"/>
        <filter val="47"/>
        <filter val="5"/>
        <filter val="51"/>
        <filter val="70"/>
        <filter val="8"/>
        <filter val="85"/>
      </filters>
    </filterColumn>
  </autoFilter>
  <tableColumns count="6">
    <tableColumn id="1" xr3:uid="{6932D97A-348A-470B-894B-9C7753BF7A2A}" name="Units" dataDxfId="26"/>
    <tableColumn id="2" xr3:uid="{6E145F52-9D4C-45CB-BD90-F47D303AF71A}" name="Origin" dataDxfId="25"/>
    <tableColumn id="3" xr3:uid="{47D8485E-D238-4F62-BF72-DB0EEE02CDED}" name="Destination" dataDxfId="24"/>
    <tableColumn id="4" xr3:uid="{87914F2F-D9BA-4619-A235-E5D0371083C2}" name="Mode" dataDxfId="23"/>
    <tableColumn id="5" xr3:uid="{AAA04F54-3A8A-4C11-9386-8E6B2E02DEE6}" name="Cost" dataDxfId="22" dataCellStyle="Currency"/>
    <tableColumn id="6" xr3:uid="{354501E2-EE90-447A-8124-305BEB69DEF6}" name="Emissions" dataDxfId="21" dataCellStyle="Comma"/>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92B6F04-7F3D-4459-B59B-FCD29B0E389B}" name="Nodes3456" displayName="Nodes3456" ref="A2:F102" totalsRowShown="0">
  <autoFilter ref="A2:F102" xr:uid="{3DF0167D-33C3-4478-A61C-A8DB5D376681}">
    <filterColumn colId="0">
      <filters>
        <filter val="1"/>
        <filter val="10"/>
        <filter val="11"/>
        <filter val="128"/>
        <filter val="145"/>
        <filter val="20"/>
        <filter val="21"/>
        <filter val="230"/>
        <filter val="25"/>
        <filter val="26"/>
        <filter val="31"/>
        <filter val="34"/>
        <filter val="4"/>
        <filter val="44"/>
        <filter val="46"/>
        <filter val="6"/>
        <filter val="70"/>
        <filter val="84"/>
      </filters>
    </filterColumn>
  </autoFilter>
  <tableColumns count="6">
    <tableColumn id="1" xr3:uid="{94176640-B4F6-4F76-BF81-DA46E46ED0EE}" name="Units"/>
    <tableColumn id="2" xr3:uid="{4BCB27C8-306A-4472-B08D-BC7EB8DAFB22}" name="Origin"/>
    <tableColumn id="3" xr3:uid="{369B45E8-A7AF-415D-AA22-3BAC5C738D02}" name="Destination"/>
    <tableColumn id="4" xr3:uid="{CF978978-D0A8-4D0E-BE14-9F6B278E9CDB}" name="Mode"/>
    <tableColumn id="5" xr3:uid="{D27827F3-657D-40A7-B773-A803FE3168BC}" name="Cost" dataDxfId="20" dataCellStyle="Currency"/>
    <tableColumn id="6" xr3:uid="{2EB90CEA-505B-4416-BCF9-B1903E6433F8}" name="Emissions" dataDxfId="19" dataCellStyle="Comma"/>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B07EB55-8D4A-4F88-A30B-468F3210BB42}" name="Nodes34567" displayName="Nodes34567" ref="A2:F102" totalsRowShown="0">
  <autoFilter ref="A2:F102" xr:uid="{3DF0167D-33C3-4478-A61C-A8DB5D376681}">
    <filterColumn colId="0">
      <filters>
        <filter val="1"/>
        <filter val="10"/>
        <filter val="159"/>
        <filter val="17"/>
        <filter val="20"/>
        <filter val="21"/>
        <filter val="230"/>
        <filter val="26"/>
        <filter val="3"/>
        <filter val="30"/>
        <filter val="4"/>
        <filter val="44"/>
        <filter val="47"/>
        <filter val="5"/>
        <filter val="51"/>
        <filter val="70"/>
        <filter val="85"/>
      </filters>
    </filterColumn>
  </autoFilter>
  <tableColumns count="6">
    <tableColumn id="1" xr3:uid="{9A32612A-2E5C-4C7E-81B3-E4A8B82F486E}" name="Units"/>
    <tableColumn id="2" xr3:uid="{38E8479D-C6F7-4C06-9D24-10899CDE5DB8}" name="Origin"/>
    <tableColumn id="3" xr3:uid="{86FE7AA0-86B8-4870-8B47-EE3A2F3190C7}" name="Destination"/>
    <tableColumn id="4" xr3:uid="{A851B5CA-20E5-443F-B5B4-3AB0C306A665}" name="Mode"/>
    <tableColumn id="5" xr3:uid="{EE035A89-A900-4F5B-913B-793FDEDB0AAB}" name="Cost" dataDxfId="18" dataCellStyle="Currency"/>
    <tableColumn id="6" xr3:uid="{CC8B1D2A-03E1-4583-B185-5A3516292680}" name="Emissions" dataDxfId="17" dataCellStyle="Comma"/>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6C95264-26F7-4C02-B12B-FD832E507A70}" name="Nodes34" displayName="Nodes34" ref="A2:F102" totalsRowShown="0" headerRowDxfId="16" dataDxfId="15">
  <autoFilter ref="A2:F102" xr:uid="{3DF0167D-33C3-4478-A61C-A8DB5D376681}">
    <filterColumn colId="0">
      <filters>
        <filter val="1"/>
        <filter val="10"/>
        <filter val="17"/>
        <filter val="189"/>
        <filter val="20"/>
        <filter val="200"/>
        <filter val="21"/>
        <filter val="26"/>
        <filter val="3"/>
        <filter val="4"/>
        <filter val="44"/>
        <filter val="47"/>
        <filter val="5"/>
        <filter val="51"/>
        <filter val="70"/>
        <filter val="85"/>
        <filter val="9"/>
      </filters>
    </filterColumn>
  </autoFilter>
  <tableColumns count="6">
    <tableColumn id="1" xr3:uid="{EB13BC08-8CFF-43E7-A419-DAAC7E00CB0E}" name="Units" dataDxfId="14"/>
    <tableColumn id="2" xr3:uid="{80E76F63-2E07-410A-B727-183B7CA3E74A}" name="Origin" dataDxfId="13"/>
    <tableColumn id="3" xr3:uid="{61828917-6CAA-4555-AEE0-73CC6F09DC9F}" name="Destination" dataDxfId="12"/>
    <tableColumn id="4" xr3:uid="{2207F4DD-1BA8-4091-9AFD-F7C1335A52E8}" name="Mode" dataDxfId="11"/>
    <tableColumn id="5" xr3:uid="{BA2BEE61-720C-44BD-AB27-1A1628E9D23A}" name="Cost" dataDxfId="10" dataCellStyle="Currency"/>
    <tableColumn id="6" xr3:uid="{5C612E05-C8DB-4DD5-BDA5-21100D87B669}" name="Emissions" dataDxfId="9" dataCellStyle="Comma"/>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1D716-0FF6-41EC-803E-7C48AEDD9D8B}" name="Nodes38" displayName="Nodes38" ref="A2:F102" totalsRowShown="0">
  <autoFilter ref="A2:F102" xr:uid="{3DF0167D-33C3-4478-A61C-A8DB5D376681}"/>
  <tableColumns count="6">
    <tableColumn id="1" xr3:uid="{6755D520-75DB-4255-AA88-C17B97ED5210}" name="Units"/>
    <tableColumn id="2" xr3:uid="{D24FC083-D557-44ED-A792-5A9C4D894ACB}" name="Origin"/>
    <tableColumn id="3" xr3:uid="{2979256C-0AC7-4569-9804-CCDD2AD99317}" name="Destination"/>
    <tableColumn id="4" xr3:uid="{EDA669A9-C7EE-4C42-94E6-A4AD3C73D402}" name="Mode"/>
    <tableColumn id="5" xr3:uid="{43ED71E3-8083-402F-AA6B-AB39AEEBE32F}" name="Cost" dataDxfId="8" dataCellStyle="Currency"/>
    <tableColumn id="6" xr3:uid="{EAD9642B-8D40-4009-A29B-9DACAFB274FF}" name="Emissions" dataDxfId="7" dataCellStyle="Comma"/>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EB314-7997-4783-A115-DED8B8AE1C85}">
  <sheetPr>
    <tabColor rgb="FF00B0F0"/>
  </sheetPr>
  <dimension ref="A1:I30"/>
  <sheetViews>
    <sheetView zoomScale="160" zoomScaleNormal="160" workbookViewId="0"/>
  </sheetViews>
  <sheetFormatPr defaultRowHeight="14.5" x14ac:dyDescent="0.35"/>
  <cols>
    <col min="1" max="1" width="25" customWidth="1"/>
    <col min="2" max="2" width="15.1796875" customWidth="1"/>
    <col min="4" max="4" width="12" customWidth="1"/>
  </cols>
  <sheetData>
    <row r="1" spans="1:6" ht="29" x14ac:dyDescent="0.35">
      <c r="A1" s="38" t="s">
        <v>117</v>
      </c>
      <c r="B1" t="s">
        <v>116</v>
      </c>
      <c r="C1" s="38" t="s">
        <v>3</v>
      </c>
      <c r="D1" s="38" t="s">
        <v>115</v>
      </c>
      <c r="E1" s="38" t="s">
        <v>114</v>
      </c>
      <c r="F1" s="38" t="s">
        <v>91</v>
      </c>
    </row>
    <row r="2" spans="1:6" x14ac:dyDescent="0.35">
      <c r="A2" s="36" t="s">
        <v>113</v>
      </c>
      <c r="B2" t="s">
        <v>112</v>
      </c>
      <c r="C2" s="36">
        <v>0.35</v>
      </c>
      <c r="D2" s="37">
        <v>0.25</v>
      </c>
      <c r="E2" s="36">
        <v>0</v>
      </c>
      <c r="F2" s="36">
        <v>150</v>
      </c>
    </row>
    <row r="3" spans="1:6" x14ac:dyDescent="0.35">
      <c r="A3" s="36" t="s">
        <v>111</v>
      </c>
      <c r="B3" t="s">
        <v>110</v>
      </c>
      <c r="C3" s="36">
        <v>0.5</v>
      </c>
      <c r="D3" s="37">
        <v>0.375</v>
      </c>
      <c r="E3" s="36">
        <v>10</v>
      </c>
      <c r="F3" s="36">
        <v>400</v>
      </c>
    </row>
    <row r="4" spans="1:6" x14ac:dyDescent="0.35">
      <c r="A4" s="36" t="s">
        <v>109</v>
      </c>
      <c r="B4" t="s">
        <v>108</v>
      </c>
      <c r="C4" s="36">
        <v>0.2</v>
      </c>
      <c r="D4" s="37">
        <v>1</v>
      </c>
      <c r="E4" s="36">
        <v>1</v>
      </c>
      <c r="F4" s="36">
        <v>50</v>
      </c>
    </row>
    <row r="7" spans="1:6" x14ac:dyDescent="0.35">
      <c r="A7" s="36" t="s">
        <v>107</v>
      </c>
    </row>
    <row r="8" spans="1:6" x14ac:dyDescent="0.35">
      <c r="A8" s="36" t="s">
        <v>106</v>
      </c>
      <c r="B8" t="s">
        <v>105</v>
      </c>
    </row>
    <row r="10" spans="1:6" x14ac:dyDescent="0.35">
      <c r="A10" t="s">
        <v>104</v>
      </c>
      <c r="B10" t="s">
        <v>91</v>
      </c>
      <c r="C10" t="s">
        <v>103</v>
      </c>
    </row>
    <row r="11" spans="1:6" x14ac:dyDescent="0.35">
      <c r="B11" t="s">
        <v>90</v>
      </c>
      <c r="C11" t="s">
        <v>102</v>
      </c>
    </row>
    <row r="12" spans="1:6" x14ac:dyDescent="0.35">
      <c r="B12" t="s">
        <v>87</v>
      </c>
      <c r="C12" t="s">
        <v>101</v>
      </c>
    </row>
    <row r="13" spans="1:6" x14ac:dyDescent="0.35">
      <c r="B13" t="s">
        <v>85</v>
      </c>
      <c r="C13" t="s">
        <v>100</v>
      </c>
    </row>
    <row r="14" spans="1:6" x14ac:dyDescent="0.35">
      <c r="B14" t="s">
        <v>82</v>
      </c>
      <c r="C14" t="s">
        <v>99</v>
      </c>
    </row>
    <row r="15" spans="1:6" x14ac:dyDescent="0.35">
      <c r="B15" t="s">
        <v>81</v>
      </c>
      <c r="C15" t="s">
        <v>98</v>
      </c>
    </row>
    <row r="17" spans="1:9" x14ac:dyDescent="0.35">
      <c r="B17" t="s">
        <v>97</v>
      </c>
      <c r="C17" t="s">
        <v>96</v>
      </c>
      <c r="D17" t="s">
        <v>95</v>
      </c>
    </row>
    <row r="18" spans="1:9" x14ac:dyDescent="0.35">
      <c r="A18" t="s">
        <v>94</v>
      </c>
      <c r="B18" s="4">
        <v>2.4</v>
      </c>
      <c r="C18" s="4">
        <v>0.24774193548387091</v>
      </c>
      <c r="D18" s="4">
        <v>2.307096774193548</v>
      </c>
      <c r="F18" t="s">
        <v>83</v>
      </c>
    </row>
    <row r="19" spans="1:9" x14ac:dyDescent="0.35">
      <c r="A19" t="s">
        <v>3</v>
      </c>
      <c r="B19">
        <v>0.35</v>
      </c>
      <c r="C19">
        <v>0.5</v>
      </c>
      <c r="D19">
        <v>0.2</v>
      </c>
      <c r="F19" s="4">
        <f>SUMPRODUCT(B18:D18,B19:D19)</f>
        <v>1.425290322580645</v>
      </c>
    </row>
    <row r="21" spans="1:9" x14ac:dyDescent="0.35">
      <c r="A21" s="1" t="s">
        <v>93</v>
      </c>
      <c r="E21" t="s">
        <v>92</v>
      </c>
      <c r="F21" t="s">
        <v>52</v>
      </c>
    </row>
    <row r="22" spans="1:9" x14ac:dyDescent="0.35">
      <c r="A22" t="s">
        <v>91</v>
      </c>
      <c r="B22">
        <v>150</v>
      </c>
      <c r="C22">
        <v>400</v>
      </c>
      <c r="D22">
        <v>50</v>
      </c>
      <c r="E22" s="35">
        <f>SUMPRODUCT($B$18:$D$18,B22:D22)</f>
        <v>574.45161290322574</v>
      </c>
      <c r="F22">
        <v>1000</v>
      </c>
    </row>
    <row r="23" spans="1:9" x14ac:dyDescent="0.35">
      <c r="A23" t="s">
        <v>90</v>
      </c>
      <c r="B23">
        <v>0</v>
      </c>
      <c r="C23">
        <v>10</v>
      </c>
      <c r="D23">
        <v>1</v>
      </c>
      <c r="E23" s="35">
        <f>SUMPRODUCT($B$18:$D$18,B23:D23)</f>
        <v>4.7845161290322569</v>
      </c>
      <c r="F23">
        <v>25</v>
      </c>
    </row>
    <row r="24" spans="1:9" x14ac:dyDescent="0.35">
      <c r="E24" t="s">
        <v>89</v>
      </c>
      <c r="F24" t="s">
        <v>88</v>
      </c>
    </row>
    <row r="25" spans="1:9" x14ac:dyDescent="0.35">
      <c r="A25" t="s">
        <v>87</v>
      </c>
      <c r="B25">
        <v>0.25</v>
      </c>
      <c r="C25">
        <v>0.375</v>
      </c>
      <c r="D25">
        <v>1</v>
      </c>
      <c r="E25">
        <f>0.8*(B18*B25)-0.2*(SUMPRODUCT($C$18:$D$18,C25:D25))</f>
        <v>0</v>
      </c>
      <c r="F25">
        <v>0</v>
      </c>
      <c r="G25" t="s">
        <v>86</v>
      </c>
      <c r="I25">
        <f>($B$18*B25)/(SUMPRODUCT($B$18:$D$18,B25:D25))</f>
        <v>0.2</v>
      </c>
    </row>
    <row r="26" spans="1:9" x14ac:dyDescent="0.35">
      <c r="A26" t="s">
        <v>85</v>
      </c>
      <c r="B26">
        <v>1</v>
      </c>
      <c r="C26">
        <v>1</v>
      </c>
      <c r="D26">
        <v>1</v>
      </c>
      <c r="E26">
        <f>0.85*(C18*C26)-0.15*((B18*B26)+(D18*D26))</f>
        <v>-0.49548387096774194</v>
      </c>
      <c r="F26">
        <v>0</v>
      </c>
      <c r="G26" t="s">
        <v>84</v>
      </c>
      <c r="I26">
        <f>($C$18*C26)/(SUMPRODUCT($B$18:$D$18,B26:D26))</f>
        <v>4.9999999999999996E-2</v>
      </c>
    </row>
    <row r="27" spans="1:9" x14ac:dyDescent="0.35">
      <c r="E27" t="s">
        <v>83</v>
      </c>
      <c r="F27" t="s">
        <v>51</v>
      </c>
      <c r="G27" t="s">
        <v>52</v>
      </c>
    </row>
    <row r="28" spans="1:9" x14ac:dyDescent="0.35">
      <c r="A28" t="s">
        <v>82</v>
      </c>
      <c r="B28">
        <v>0.25</v>
      </c>
      <c r="C28">
        <v>0.375</v>
      </c>
      <c r="D28">
        <v>1</v>
      </c>
      <c r="E28">
        <f>SUMPRODUCT(B18:D18,B28:D28)</f>
        <v>2.9999999999999996</v>
      </c>
      <c r="F28">
        <v>3</v>
      </c>
      <c r="G28">
        <v>4</v>
      </c>
    </row>
    <row r="30" spans="1:9" x14ac:dyDescent="0.35">
      <c r="A30" t="s">
        <v>81</v>
      </c>
      <c r="B30">
        <v>1</v>
      </c>
      <c r="C30">
        <v>1</v>
      </c>
      <c r="D30">
        <v>1</v>
      </c>
      <c r="E30">
        <f>0.95*(C18*C30)-0.05*((B18*B30)+(D18*D30))</f>
        <v>0</v>
      </c>
      <c r="F30">
        <v>0</v>
      </c>
      <c r="G30" t="s">
        <v>80</v>
      </c>
    </row>
  </sheetData>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76B5F6-A426-485B-9E5A-38BECCD4B72E}">
  <sheetPr>
    <tabColor rgb="FF00B0F0"/>
  </sheetPr>
  <dimension ref="A1:G27"/>
  <sheetViews>
    <sheetView topLeftCell="A14" zoomScale="160" zoomScaleNormal="160" workbookViewId="0">
      <selection activeCell="H32" sqref="H32"/>
    </sheetView>
  </sheetViews>
  <sheetFormatPr defaultRowHeight="14.5" x14ac:dyDescent="0.35"/>
  <cols>
    <col min="1" max="1" width="25" customWidth="1"/>
    <col min="2" max="2" width="12" customWidth="1"/>
    <col min="4" max="4" width="12" customWidth="1"/>
  </cols>
  <sheetData>
    <row r="1" spans="1:6" ht="29" x14ac:dyDescent="0.35">
      <c r="A1" s="38" t="s">
        <v>117</v>
      </c>
      <c r="B1" t="s">
        <v>116</v>
      </c>
      <c r="C1" s="38" t="s">
        <v>3</v>
      </c>
      <c r="D1" s="38" t="s">
        <v>115</v>
      </c>
      <c r="E1" s="38" t="s">
        <v>114</v>
      </c>
      <c r="F1" s="38" t="s">
        <v>91</v>
      </c>
    </row>
    <row r="2" spans="1:6" x14ac:dyDescent="0.35">
      <c r="A2" s="36" t="s">
        <v>113</v>
      </c>
      <c r="B2" t="s">
        <v>112</v>
      </c>
      <c r="C2" s="36">
        <v>0.35</v>
      </c>
      <c r="D2" s="37">
        <v>0.25</v>
      </c>
      <c r="E2" s="36">
        <v>0</v>
      </c>
      <c r="F2" s="36">
        <v>150</v>
      </c>
    </row>
    <row r="3" spans="1:6" x14ac:dyDescent="0.35">
      <c r="A3" s="36" t="s">
        <v>111</v>
      </c>
      <c r="B3" t="s">
        <v>110</v>
      </c>
      <c r="C3" s="36">
        <v>0.5</v>
      </c>
      <c r="D3" s="37">
        <v>0.375</v>
      </c>
      <c r="E3" s="36">
        <v>10</v>
      </c>
      <c r="F3" s="36">
        <v>400</v>
      </c>
    </row>
    <row r="4" spans="1:6" x14ac:dyDescent="0.35">
      <c r="A4" s="36" t="s">
        <v>109</v>
      </c>
      <c r="B4" t="s">
        <v>108</v>
      </c>
      <c r="C4" s="36">
        <v>0.2</v>
      </c>
      <c r="D4" s="37">
        <v>1</v>
      </c>
      <c r="E4" s="36">
        <v>1</v>
      </c>
      <c r="F4" s="36">
        <v>50</v>
      </c>
    </row>
    <row r="7" spans="1:6" x14ac:dyDescent="0.35">
      <c r="A7" s="36" t="s">
        <v>107</v>
      </c>
    </row>
    <row r="8" spans="1:6" x14ac:dyDescent="0.35">
      <c r="A8" s="36" t="s">
        <v>106</v>
      </c>
      <c r="B8" t="s">
        <v>105</v>
      </c>
    </row>
    <row r="10" spans="1:6" x14ac:dyDescent="0.35">
      <c r="A10" t="s">
        <v>104</v>
      </c>
      <c r="B10" t="s">
        <v>91</v>
      </c>
      <c r="C10" t="s">
        <v>103</v>
      </c>
    </row>
    <row r="11" spans="1:6" x14ac:dyDescent="0.35">
      <c r="B11" t="s">
        <v>90</v>
      </c>
      <c r="C11" t="s">
        <v>102</v>
      </c>
    </row>
    <row r="12" spans="1:6" x14ac:dyDescent="0.35">
      <c r="B12" t="s">
        <v>87</v>
      </c>
      <c r="C12" t="s">
        <v>101</v>
      </c>
    </row>
    <row r="13" spans="1:6" x14ac:dyDescent="0.35">
      <c r="B13" t="s">
        <v>85</v>
      </c>
      <c r="C13" t="s">
        <v>100</v>
      </c>
    </row>
    <row r="14" spans="1:6" x14ac:dyDescent="0.35">
      <c r="B14" t="s">
        <v>82</v>
      </c>
      <c r="C14" t="s">
        <v>99</v>
      </c>
    </row>
    <row r="16" spans="1:6" x14ac:dyDescent="0.35">
      <c r="B16" t="s">
        <v>97</v>
      </c>
      <c r="C16" t="s">
        <v>96</v>
      </c>
      <c r="D16" t="s">
        <v>95</v>
      </c>
    </row>
    <row r="17" spans="1:7" x14ac:dyDescent="0.35">
      <c r="A17" t="s">
        <v>94</v>
      </c>
      <c r="B17">
        <v>2.4000000000000004</v>
      </c>
      <c r="C17">
        <v>0</v>
      </c>
      <c r="D17">
        <v>2.4000000000000004</v>
      </c>
      <c r="F17" t="s">
        <v>83</v>
      </c>
    </row>
    <row r="18" spans="1:7" x14ac:dyDescent="0.35">
      <c r="A18" t="s">
        <v>3</v>
      </c>
      <c r="B18">
        <v>0.35</v>
      </c>
      <c r="C18">
        <v>0.5</v>
      </c>
      <c r="D18">
        <v>0.2</v>
      </c>
      <c r="F18">
        <f>SUMPRODUCT(B17:D17,B18:D18)</f>
        <v>1.3200000000000003</v>
      </c>
    </row>
    <row r="20" spans="1:7" x14ac:dyDescent="0.35">
      <c r="A20" s="1" t="s">
        <v>93</v>
      </c>
      <c r="E20" t="s">
        <v>92</v>
      </c>
      <c r="F20" t="s">
        <v>52</v>
      </c>
    </row>
    <row r="21" spans="1:7" x14ac:dyDescent="0.35">
      <c r="A21" t="s">
        <v>91</v>
      </c>
      <c r="B21">
        <v>150</v>
      </c>
      <c r="C21">
        <v>400</v>
      </c>
      <c r="D21">
        <v>50</v>
      </c>
      <c r="E21">
        <f>SUMPRODUCT($B$17:$D$17,B21:D21)</f>
        <v>480.00000000000006</v>
      </c>
      <c r="F21">
        <v>1000</v>
      </c>
    </row>
    <row r="22" spans="1:7" x14ac:dyDescent="0.35">
      <c r="A22" t="s">
        <v>90</v>
      </c>
      <c r="B22">
        <v>0</v>
      </c>
      <c r="C22">
        <v>10</v>
      </c>
      <c r="D22">
        <v>1</v>
      </c>
      <c r="E22">
        <f>SUMPRODUCT($B$17:$D$17,B22:D22)</f>
        <v>2.4000000000000004</v>
      </c>
      <c r="F22">
        <v>25</v>
      </c>
    </row>
    <row r="23" spans="1:7" x14ac:dyDescent="0.35">
      <c r="E23" t="s">
        <v>89</v>
      </c>
      <c r="F23" t="s">
        <v>88</v>
      </c>
    </row>
    <row r="24" spans="1:7" x14ac:dyDescent="0.35">
      <c r="A24" t="s">
        <v>87</v>
      </c>
      <c r="B24">
        <v>0.25</v>
      </c>
      <c r="C24">
        <v>0.375</v>
      </c>
      <c r="D24">
        <v>1</v>
      </c>
      <c r="E24">
        <f>0.8*(B17*B24)-0.2*(SUMPRODUCT($C$17:$D$17,C24:D24))</f>
        <v>0</v>
      </c>
      <c r="F24">
        <v>0</v>
      </c>
      <c r="G24" t="s">
        <v>86</v>
      </c>
    </row>
    <row r="25" spans="1:7" x14ac:dyDescent="0.35">
      <c r="A25" t="s">
        <v>85</v>
      </c>
      <c r="B25">
        <v>1</v>
      </c>
      <c r="C25">
        <v>1</v>
      </c>
      <c r="D25">
        <v>1</v>
      </c>
      <c r="E25">
        <f>0.85*(C17*C25)-0.15*((B17*B25)+(D17*D25))</f>
        <v>-0.72000000000000008</v>
      </c>
      <c r="F25">
        <v>0</v>
      </c>
      <c r="G25" t="s">
        <v>84</v>
      </c>
    </row>
    <row r="26" spans="1:7" x14ac:dyDescent="0.35">
      <c r="E26" t="s">
        <v>83</v>
      </c>
      <c r="F26" t="s">
        <v>51</v>
      </c>
      <c r="G26" t="s">
        <v>52</v>
      </c>
    </row>
    <row r="27" spans="1:7" x14ac:dyDescent="0.35">
      <c r="A27" t="s">
        <v>82</v>
      </c>
      <c r="B27">
        <v>0.25</v>
      </c>
      <c r="C27">
        <v>0.375</v>
      </c>
      <c r="D27">
        <v>1</v>
      </c>
      <c r="E27">
        <f>SUMPRODUCT(B17:D17,B27:D27)</f>
        <v>3.0000000000000004</v>
      </c>
      <c r="F27">
        <v>3</v>
      </c>
      <c r="G27">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CD3E5-EA40-4D99-B121-32512AA9E751}">
  <sheetPr>
    <tabColor rgb="FFFFC000"/>
  </sheetPr>
  <dimension ref="A2:Q14"/>
  <sheetViews>
    <sheetView workbookViewId="0">
      <selection activeCell="D24" sqref="D24"/>
    </sheetView>
  </sheetViews>
  <sheetFormatPr defaultRowHeight="14.5" x14ac:dyDescent="0.35"/>
  <sheetData>
    <row r="2" spans="1:17" x14ac:dyDescent="0.35">
      <c r="A2" s="1" t="s">
        <v>118</v>
      </c>
      <c r="B2" s="1">
        <v>1</v>
      </c>
      <c r="C2" s="1">
        <v>2</v>
      </c>
      <c r="D2" s="1">
        <v>3</v>
      </c>
      <c r="E2" s="1">
        <v>4</v>
      </c>
      <c r="F2" s="1">
        <v>5</v>
      </c>
      <c r="G2" s="1">
        <v>6</v>
      </c>
      <c r="H2" s="1">
        <v>7</v>
      </c>
      <c r="J2" s="1" t="s">
        <v>119</v>
      </c>
      <c r="K2" s="1" t="s">
        <v>120</v>
      </c>
      <c r="L2" s="1" t="s">
        <v>121</v>
      </c>
    </row>
    <row r="3" spans="1:17" x14ac:dyDescent="0.35">
      <c r="A3" t="s">
        <v>122</v>
      </c>
      <c r="B3">
        <v>0</v>
      </c>
      <c r="C3">
        <v>1</v>
      </c>
      <c r="D3">
        <v>1</v>
      </c>
      <c r="E3">
        <v>1</v>
      </c>
      <c r="F3">
        <v>1</v>
      </c>
      <c r="G3">
        <v>1</v>
      </c>
      <c r="H3">
        <v>0</v>
      </c>
      <c r="J3" t="s">
        <v>122</v>
      </c>
      <c r="K3">
        <f>SUMPRODUCT(B3:H3,$B$11:$H$11)</f>
        <v>18</v>
      </c>
      <c r="L3">
        <v>18</v>
      </c>
    </row>
    <row r="4" spans="1:17" x14ac:dyDescent="0.35">
      <c r="A4" t="s">
        <v>123</v>
      </c>
      <c r="B4">
        <v>0</v>
      </c>
      <c r="C4">
        <v>0</v>
      </c>
      <c r="D4">
        <v>1</v>
      </c>
      <c r="E4">
        <v>1</v>
      </c>
      <c r="F4">
        <v>1</v>
      </c>
      <c r="G4">
        <v>1</v>
      </c>
      <c r="H4">
        <v>1</v>
      </c>
      <c r="J4" t="s">
        <v>123</v>
      </c>
      <c r="K4">
        <f t="shared" ref="K4:K9" si="0">SUMPRODUCT(B4:H4,$B$11:$H$11)</f>
        <v>13</v>
      </c>
      <c r="L4">
        <v>13</v>
      </c>
    </row>
    <row r="5" spans="1:17" x14ac:dyDescent="0.35">
      <c r="A5" t="s">
        <v>124</v>
      </c>
      <c r="B5">
        <v>1</v>
      </c>
      <c r="C5">
        <v>0</v>
      </c>
      <c r="D5">
        <v>0</v>
      </c>
      <c r="E5">
        <v>1</v>
      </c>
      <c r="F5">
        <v>1</v>
      </c>
      <c r="G5">
        <v>1</v>
      </c>
      <c r="H5">
        <v>1</v>
      </c>
      <c r="J5" t="s">
        <v>124</v>
      </c>
      <c r="K5">
        <f t="shared" si="0"/>
        <v>15</v>
      </c>
      <c r="L5">
        <v>15</v>
      </c>
    </row>
    <row r="6" spans="1:17" x14ac:dyDescent="0.35">
      <c r="A6" t="s">
        <v>125</v>
      </c>
      <c r="B6">
        <v>1</v>
      </c>
      <c r="C6">
        <v>1</v>
      </c>
      <c r="D6">
        <v>0</v>
      </c>
      <c r="E6">
        <v>0</v>
      </c>
      <c r="F6">
        <v>1</v>
      </c>
      <c r="G6">
        <v>1</v>
      </c>
      <c r="H6">
        <v>1</v>
      </c>
      <c r="J6" t="s">
        <v>125</v>
      </c>
      <c r="K6">
        <f t="shared" si="0"/>
        <v>22</v>
      </c>
      <c r="L6">
        <v>18</v>
      </c>
    </row>
    <row r="7" spans="1:17" x14ac:dyDescent="0.35">
      <c r="A7" t="s">
        <v>126</v>
      </c>
      <c r="B7">
        <v>1</v>
      </c>
      <c r="C7">
        <v>1</v>
      </c>
      <c r="D7">
        <v>1</v>
      </c>
      <c r="E7">
        <v>0</v>
      </c>
      <c r="F7">
        <v>0</v>
      </c>
      <c r="G7">
        <v>1</v>
      </c>
      <c r="H7">
        <v>1</v>
      </c>
      <c r="J7" t="s">
        <v>126</v>
      </c>
      <c r="K7">
        <f t="shared" si="0"/>
        <v>21</v>
      </c>
      <c r="L7">
        <v>21</v>
      </c>
    </row>
    <row r="8" spans="1:17" x14ac:dyDescent="0.35">
      <c r="A8" t="s">
        <v>127</v>
      </c>
      <c r="B8">
        <v>1</v>
      </c>
      <c r="C8">
        <v>1</v>
      </c>
      <c r="D8">
        <v>1</v>
      </c>
      <c r="E8">
        <v>1</v>
      </c>
      <c r="F8">
        <v>0</v>
      </c>
      <c r="G8">
        <v>0</v>
      </c>
      <c r="H8">
        <v>1</v>
      </c>
      <c r="J8" t="s">
        <v>127</v>
      </c>
      <c r="K8">
        <f t="shared" si="0"/>
        <v>20</v>
      </c>
      <c r="L8">
        <v>18</v>
      </c>
    </row>
    <row r="9" spans="1:17" x14ac:dyDescent="0.35">
      <c r="A9" t="s">
        <v>128</v>
      </c>
      <c r="B9">
        <v>1</v>
      </c>
      <c r="C9">
        <v>1</v>
      </c>
      <c r="D9">
        <v>1</v>
      </c>
      <c r="E9">
        <v>1</v>
      </c>
      <c r="F9">
        <v>1</v>
      </c>
      <c r="G9">
        <v>0</v>
      </c>
      <c r="H9">
        <v>0</v>
      </c>
      <c r="J9" t="s">
        <v>128</v>
      </c>
      <c r="K9">
        <f t="shared" si="0"/>
        <v>21</v>
      </c>
      <c r="L9">
        <v>21</v>
      </c>
    </row>
    <row r="10" spans="1:17" x14ac:dyDescent="0.35">
      <c r="A10" t="s">
        <v>3</v>
      </c>
      <c r="B10" s="7">
        <v>900</v>
      </c>
      <c r="C10" s="7">
        <v>850</v>
      </c>
      <c r="D10" s="7">
        <v>920</v>
      </c>
      <c r="E10" s="7">
        <v>860</v>
      </c>
      <c r="F10" s="7">
        <v>780</v>
      </c>
      <c r="G10" s="7">
        <v>910</v>
      </c>
      <c r="H10" s="7">
        <v>850</v>
      </c>
    </row>
    <row r="11" spans="1:17" x14ac:dyDescent="0.35">
      <c r="A11" t="s">
        <v>120</v>
      </c>
      <c r="B11">
        <v>5</v>
      </c>
      <c r="C11">
        <v>8</v>
      </c>
      <c r="D11">
        <v>3</v>
      </c>
      <c r="E11">
        <v>1</v>
      </c>
      <c r="F11">
        <v>4</v>
      </c>
      <c r="G11">
        <v>2</v>
      </c>
      <c r="H11">
        <v>3</v>
      </c>
    </row>
    <row r="12" spans="1:17" x14ac:dyDescent="0.35">
      <c r="K12" t="str" cm="1">
        <f t="array" ref="K12:Q12">TRANSPOSE(J3:J9)</f>
        <v>Sun</v>
      </c>
      <c r="L12" t="str">
        <v>Mon</v>
      </c>
      <c r="M12" t="str">
        <v>Tue</v>
      </c>
      <c r="N12" t="str">
        <v>Wed</v>
      </c>
      <c r="O12" t="str">
        <v>Thu</v>
      </c>
      <c r="P12" t="str">
        <v>Fri</v>
      </c>
      <c r="Q12" t="str">
        <v>Sat</v>
      </c>
    </row>
    <row r="13" spans="1:17" x14ac:dyDescent="0.35">
      <c r="G13" t="s">
        <v>66</v>
      </c>
      <c r="H13" s="7">
        <f>SUMPRODUCT(B10:H10,B11:H11)</f>
        <v>22410</v>
      </c>
      <c r="J13" s="1" t="s">
        <v>120</v>
      </c>
      <c r="K13" cm="1">
        <f t="array" ref="K13:Q13">TRANSPOSE(K3:K9)</f>
        <v>18</v>
      </c>
      <c r="L13">
        <v>13</v>
      </c>
      <c r="M13">
        <v>15</v>
      </c>
      <c r="N13">
        <v>22</v>
      </c>
      <c r="O13">
        <v>21</v>
      </c>
      <c r="P13">
        <v>20</v>
      </c>
      <c r="Q13">
        <v>21</v>
      </c>
    </row>
    <row r="14" spans="1:17" x14ac:dyDescent="0.35">
      <c r="J14" s="1" t="s">
        <v>121</v>
      </c>
      <c r="K14" cm="1">
        <f t="array" ref="K14:Q14">TRANSPOSE(L3:L9)</f>
        <v>18</v>
      </c>
      <c r="L14">
        <v>13</v>
      </c>
      <c r="M14">
        <v>15</v>
      </c>
      <c r="N14">
        <v>18</v>
      </c>
      <c r="O14">
        <v>21</v>
      </c>
      <c r="P14">
        <v>18</v>
      </c>
      <c r="Q14">
        <v>21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E9DE18-AC2D-4056-9160-733DFE5D029D}">
  <sheetPr codeName="Sheet2">
    <tabColor rgb="FF92D050"/>
  </sheetPr>
  <dimension ref="A1:AM68"/>
  <sheetViews>
    <sheetView topLeftCell="L1" zoomScaleNormal="100" workbookViewId="0">
      <selection activeCell="U44" sqref="U44"/>
    </sheetView>
  </sheetViews>
  <sheetFormatPr defaultRowHeight="14.5" x14ac:dyDescent="0.35"/>
  <cols>
    <col min="1" max="1" width="13.90625" customWidth="1"/>
    <col min="2" max="2" width="18.1796875" customWidth="1"/>
    <col min="3" max="3" width="18.453125" bestFit="1" customWidth="1"/>
    <col min="4" max="4" width="12" customWidth="1"/>
    <col min="5" max="5" width="20.81640625" customWidth="1"/>
    <col min="6" max="6" width="10" customWidth="1"/>
    <col min="8" max="8" width="12.08984375" customWidth="1"/>
    <col min="9" max="9" width="10.08984375" bestFit="1" customWidth="1"/>
    <col min="10" max="10" width="12.08984375" customWidth="1"/>
    <col min="14" max="14" width="9.90625" customWidth="1"/>
    <col min="16" max="16" width="10" bestFit="1" customWidth="1"/>
  </cols>
  <sheetData>
    <row r="1" spans="1:39" x14ac:dyDescent="0.35">
      <c r="A1" t="s">
        <v>57</v>
      </c>
      <c r="B1" t="s">
        <v>20</v>
      </c>
      <c r="C1" t="s">
        <v>21</v>
      </c>
      <c r="D1" t="s">
        <v>22</v>
      </c>
      <c r="E1" t="s">
        <v>23</v>
      </c>
      <c r="F1" t="s">
        <v>6</v>
      </c>
      <c r="G1" t="s">
        <v>24</v>
      </c>
      <c r="H1" t="s">
        <v>49</v>
      </c>
      <c r="I1" t="s">
        <v>48</v>
      </c>
      <c r="J1" t="s">
        <v>34</v>
      </c>
      <c r="K1" t="s">
        <v>40</v>
      </c>
      <c r="L1" t="s">
        <v>34</v>
      </c>
      <c r="M1" t="s">
        <v>50</v>
      </c>
      <c r="N1" t="s">
        <v>58</v>
      </c>
      <c r="U1" t="s">
        <v>13</v>
      </c>
      <c r="V1">
        <v>180</v>
      </c>
      <c r="W1" t="s">
        <v>129</v>
      </c>
      <c r="X1" s="11"/>
      <c r="Y1" s="11"/>
      <c r="Z1" s="11"/>
      <c r="AA1" s="11"/>
      <c r="AB1" s="11"/>
      <c r="AC1" s="11"/>
      <c r="AD1" s="11"/>
      <c r="AE1" s="11"/>
      <c r="AF1" s="11"/>
      <c r="AG1" s="11"/>
      <c r="AH1" s="11"/>
      <c r="AI1" s="11"/>
      <c r="AJ1" s="11"/>
      <c r="AK1" s="11"/>
      <c r="AL1" s="11"/>
      <c r="AM1" s="11"/>
    </row>
    <row r="2" spans="1:39" x14ac:dyDescent="0.35">
      <c r="A2">
        <v>1</v>
      </c>
      <c r="B2" t="s">
        <v>16</v>
      </c>
      <c r="C2" t="e" vm="1">
        <v>#VALUE!</v>
      </c>
      <c r="D2" t="e" cm="1" vm="2">
        <f t="array" ref="D2">_FV(C2,"Country/region",TRUE)</f>
        <v>#VALUE!</v>
      </c>
      <c r="E2" t="s">
        <v>7</v>
      </c>
      <c r="F2">
        <v>82</v>
      </c>
      <c r="G2" t="b">
        <v>1</v>
      </c>
      <c r="H2" s="6">
        <v>25000</v>
      </c>
      <c r="I2" s="6">
        <v>2554.1999999999998</v>
      </c>
      <c r="J2" s="7">
        <f>(H2+I2)*1000</f>
        <v>27554200</v>
      </c>
      <c r="K2">
        <v>330</v>
      </c>
      <c r="L2" s="9">
        <f>K2*1000</f>
        <v>330000</v>
      </c>
      <c r="M2">
        <v>1</v>
      </c>
      <c r="N2">
        <v>210</v>
      </c>
      <c r="U2">
        <v>14.19</v>
      </c>
      <c r="V2">
        <f>U2*$V$1</f>
        <v>2554.1999999999998</v>
      </c>
    </row>
    <row r="3" spans="1:39" x14ac:dyDescent="0.35">
      <c r="A3">
        <v>2</v>
      </c>
      <c r="B3" t="s">
        <v>15</v>
      </c>
      <c r="C3" t="e" vm="3">
        <v>#VALUE!</v>
      </c>
      <c r="D3" t="e" cm="1" vm="4">
        <f t="array" ref="D3">_FV(C3,"Country/region",TRUE)</f>
        <v>#VALUE!</v>
      </c>
      <c r="E3" t="s">
        <v>9</v>
      </c>
      <c r="F3">
        <v>9</v>
      </c>
      <c r="G3" t="b">
        <v>1</v>
      </c>
      <c r="H3" s="6">
        <v>25000</v>
      </c>
      <c r="I3" s="6">
        <v>48.6</v>
      </c>
      <c r="J3" s="7">
        <f t="shared" ref="J3:J9" si="0">(H3+I3)*1000</f>
        <v>25048600</v>
      </c>
      <c r="K3">
        <v>330</v>
      </c>
      <c r="L3" s="9">
        <f t="shared" ref="L3:L9" si="1">K3*1000</f>
        <v>330000</v>
      </c>
      <c r="M3">
        <v>5</v>
      </c>
      <c r="N3">
        <v>10</v>
      </c>
      <c r="U3">
        <v>1.28</v>
      </c>
      <c r="V3">
        <f t="shared" ref="V3:V9" si="2">U3*$V$1</f>
        <v>230.4</v>
      </c>
    </row>
    <row r="4" spans="1:39" x14ac:dyDescent="0.35">
      <c r="A4">
        <v>3</v>
      </c>
      <c r="B4" t="s">
        <v>17</v>
      </c>
      <c r="C4" t="e" vm="5">
        <v>#VALUE!</v>
      </c>
      <c r="D4" t="e" cm="1" vm="6">
        <f t="array" ref="D4">_FV(C4,"Country/region",TRUE)</f>
        <v>#VALUE!</v>
      </c>
      <c r="E4" t="s">
        <v>9</v>
      </c>
      <c r="F4">
        <v>9</v>
      </c>
      <c r="G4" t="b">
        <v>1</v>
      </c>
      <c r="H4" s="6">
        <v>25000</v>
      </c>
      <c r="I4" s="6">
        <v>232.2</v>
      </c>
      <c r="J4" s="7">
        <f t="shared" si="0"/>
        <v>25232200</v>
      </c>
      <c r="K4">
        <v>330</v>
      </c>
      <c r="L4" s="9">
        <f t="shared" si="1"/>
        <v>330000</v>
      </c>
      <c r="M4">
        <v>5</v>
      </c>
      <c r="N4">
        <v>10</v>
      </c>
      <c r="U4">
        <v>0.27</v>
      </c>
      <c r="V4">
        <f t="shared" si="2"/>
        <v>48.6</v>
      </c>
    </row>
    <row r="5" spans="1:39" x14ac:dyDescent="0.35">
      <c r="A5">
        <v>4</v>
      </c>
      <c r="B5" t="s">
        <v>39</v>
      </c>
      <c r="C5" t="e" vm="7">
        <v>#VALUE!</v>
      </c>
      <c r="D5" t="e" cm="1" vm="8">
        <f t="array" ref="D5">_FV(C5,"Country/region",TRUE)</f>
        <v>#VALUE!</v>
      </c>
      <c r="E5" t="s">
        <v>9</v>
      </c>
      <c r="F5">
        <v>86</v>
      </c>
      <c r="G5" t="b">
        <v>1</v>
      </c>
      <c r="H5" s="6">
        <v>25000</v>
      </c>
      <c r="I5" s="6">
        <v>228.6</v>
      </c>
      <c r="J5" s="7">
        <f t="shared" si="0"/>
        <v>25228600</v>
      </c>
      <c r="K5">
        <v>330</v>
      </c>
      <c r="L5" s="9">
        <f t="shared" si="1"/>
        <v>330000</v>
      </c>
      <c r="M5">
        <v>5</v>
      </c>
      <c r="N5">
        <v>230</v>
      </c>
      <c r="U5">
        <v>1.29</v>
      </c>
      <c r="V5">
        <f t="shared" si="2"/>
        <v>232.20000000000002</v>
      </c>
    </row>
    <row r="6" spans="1:39" x14ac:dyDescent="0.35">
      <c r="A6">
        <v>5</v>
      </c>
      <c r="B6" t="s">
        <v>18</v>
      </c>
      <c r="C6" t="e" vm="9">
        <v>#VALUE!</v>
      </c>
      <c r="D6" t="e" cm="1" vm="10">
        <f t="array" ref="D6">_FV(C6,"Country/region",TRUE)</f>
        <v>#VALUE!</v>
      </c>
      <c r="E6" t="s">
        <v>8</v>
      </c>
      <c r="F6">
        <v>5</v>
      </c>
      <c r="G6" t="b">
        <v>1</v>
      </c>
      <c r="H6" s="6">
        <v>25000</v>
      </c>
      <c r="I6" s="6">
        <v>223.2</v>
      </c>
      <c r="J6" s="7">
        <f t="shared" si="0"/>
        <v>25223200</v>
      </c>
      <c r="K6">
        <v>330</v>
      </c>
      <c r="L6" s="9">
        <f t="shared" si="1"/>
        <v>330000</v>
      </c>
      <c r="M6">
        <v>5</v>
      </c>
      <c r="N6">
        <v>70</v>
      </c>
      <c r="U6">
        <v>1.24</v>
      </c>
      <c r="V6">
        <f t="shared" si="2"/>
        <v>223.2</v>
      </c>
    </row>
    <row r="7" spans="1:39" x14ac:dyDescent="0.35">
      <c r="A7">
        <v>6</v>
      </c>
      <c r="B7" t="s">
        <v>19</v>
      </c>
      <c r="C7" t="e" vm="11">
        <v>#VALUE!</v>
      </c>
      <c r="D7" t="e" cm="1" vm="12">
        <f t="array" ref="D7">_FV(C7,"Country/region",TRUE)</f>
        <v>#VALUE!</v>
      </c>
      <c r="E7" t="s">
        <v>8</v>
      </c>
      <c r="F7">
        <v>20</v>
      </c>
      <c r="G7" t="b">
        <v>1</v>
      </c>
      <c r="H7" s="6">
        <v>25000</v>
      </c>
      <c r="I7" s="6">
        <v>1305</v>
      </c>
      <c r="J7" s="7">
        <f t="shared" si="0"/>
        <v>26305000</v>
      </c>
      <c r="K7">
        <v>330</v>
      </c>
      <c r="L7" s="9">
        <f t="shared" si="1"/>
        <v>330000</v>
      </c>
      <c r="M7">
        <v>5</v>
      </c>
      <c r="N7">
        <v>145</v>
      </c>
      <c r="U7">
        <v>1.27</v>
      </c>
      <c r="V7">
        <f t="shared" si="2"/>
        <v>228.6</v>
      </c>
    </row>
    <row r="8" spans="1:39" x14ac:dyDescent="0.35">
      <c r="A8">
        <v>7</v>
      </c>
      <c r="B8" t="s">
        <v>14</v>
      </c>
      <c r="C8" t="e" vm="13">
        <v>#VALUE!</v>
      </c>
      <c r="D8" t="e" cm="1" vm="14">
        <f t="array" ref="D8">_FV(C8,"Country/region",TRUE)</f>
        <v>#VALUE!</v>
      </c>
      <c r="E8" t="s">
        <v>8</v>
      </c>
      <c r="F8">
        <v>4</v>
      </c>
      <c r="G8" t="b">
        <v>1</v>
      </c>
      <c r="H8" s="6">
        <v>25000</v>
      </c>
      <c r="I8" s="6">
        <v>230.4</v>
      </c>
      <c r="J8" s="7">
        <f t="shared" si="0"/>
        <v>25230400</v>
      </c>
      <c r="K8">
        <v>330</v>
      </c>
      <c r="L8" s="9">
        <f t="shared" si="1"/>
        <v>330000</v>
      </c>
      <c r="M8">
        <v>5</v>
      </c>
      <c r="N8">
        <v>10</v>
      </c>
      <c r="U8">
        <v>7.25</v>
      </c>
      <c r="V8">
        <f t="shared" si="2"/>
        <v>1305</v>
      </c>
    </row>
    <row r="9" spans="1:39" x14ac:dyDescent="0.35">
      <c r="A9">
        <v>8</v>
      </c>
      <c r="B9" t="s">
        <v>44</v>
      </c>
      <c r="C9" t="e" vm="15">
        <v>#VALUE!</v>
      </c>
      <c r="D9" t="e" cm="1" vm="16">
        <f t="array" ref="D9">_FV(C9,"Country/region",TRUE)</f>
        <v>#VALUE!</v>
      </c>
      <c r="E9" t="s">
        <v>10</v>
      </c>
      <c r="F9">
        <v>1</v>
      </c>
      <c r="G9" t="b">
        <v>1</v>
      </c>
      <c r="H9" s="6">
        <v>25000</v>
      </c>
      <c r="I9" s="6">
        <v>282.60000000000002</v>
      </c>
      <c r="J9" s="7">
        <f t="shared" si="0"/>
        <v>25282600</v>
      </c>
      <c r="K9">
        <v>330</v>
      </c>
      <c r="L9" s="9">
        <f t="shared" si="1"/>
        <v>330000</v>
      </c>
      <c r="M9">
        <v>5</v>
      </c>
      <c r="N9">
        <v>20</v>
      </c>
      <c r="U9">
        <v>1.57</v>
      </c>
      <c r="V9">
        <f t="shared" si="2"/>
        <v>282.60000000000002</v>
      </c>
    </row>
    <row r="10" spans="1:39" x14ac:dyDescent="0.35">
      <c r="A10">
        <v>9</v>
      </c>
      <c r="B10" t="s">
        <v>47</v>
      </c>
      <c r="C10" t="e" vm="17">
        <v>#VALUE!</v>
      </c>
      <c r="D10" t="e" cm="1" vm="18">
        <f t="array" ref="D10">_FV(C10,"Country/region",TRUE)</f>
        <v>#VALUE!</v>
      </c>
      <c r="E10" t="s">
        <v>7</v>
      </c>
      <c r="F10">
        <v>48</v>
      </c>
      <c r="G10" t="b">
        <v>0</v>
      </c>
    </row>
    <row r="11" spans="1:39" x14ac:dyDescent="0.35">
      <c r="A11">
        <v>10</v>
      </c>
      <c r="B11" t="s">
        <v>25</v>
      </c>
      <c r="C11" t="e" vm="19">
        <v>#VALUE!</v>
      </c>
      <c r="D11" t="e" cm="1" vm="20">
        <f t="array" ref="D11">_FV(C11,"Country/region",TRUE)</f>
        <v>#VALUE!</v>
      </c>
      <c r="E11" t="s">
        <v>7</v>
      </c>
      <c r="F11">
        <v>51</v>
      </c>
      <c r="G11" t="b">
        <v>0</v>
      </c>
    </row>
    <row r="12" spans="1:39" x14ac:dyDescent="0.35">
      <c r="A12">
        <v>11</v>
      </c>
      <c r="B12" t="s">
        <v>26</v>
      </c>
      <c r="C12" t="e" vm="21">
        <v>#VALUE!</v>
      </c>
      <c r="D12" t="e" cm="1" vm="22">
        <f t="array" ref="D12">_FV(C12,"Country/region",TRUE)</f>
        <v>#VALUE!</v>
      </c>
      <c r="E12" t="s">
        <v>7</v>
      </c>
      <c r="F12">
        <v>9</v>
      </c>
      <c r="G12" t="b">
        <v>0</v>
      </c>
    </row>
    <row r="13" spans="1:39" x14ac:dyDescent="0.35">
      <c r="A13">
        <v>12</v>
      </c>
      <c r="B13" t="s">
        <v>27</v>
      </c>
      <c r="C13" t="e" vm="23">
        <v>#VALUE!</v>
      </c>
      <c r="D13" t="s">
        <v>11</v>
      </c>
      <c r="E13" t="s">
        <v>9</v>
      </c>
      <c r="F13">
        <v>85</v>
      </c>
      <c r="G13" t="b">
        <v>0</v>
      </c>
    </row>
    <row r="14" spans="1:39" x14ac:dyDescent="0.35">
      <c r="A14">
        <v>13</v>
      </c>
      <c r="B14" t="s">
        <v>28</v>
      </c>
      <c r="C14" t="e" vm="24">
        <v>#VALUE!</v>
      </c>
      <c r="D14" t="e" cm="1" vm="25">
        <f t="array" ref="D14">_FV(C14,"Country/region",TRUE)</f>
        <v>#VALUE!</v>
      </c>
      <c r="E14" t="s">
        <v>9</v>
      </c>
      <c r="F14">
        <v>26</v>
      </c>
      <c r="G14" t="b">
        <v>0</v>
      </c>
    </row>
    <row r="15" spans="1:39" x14ac:dyDescent="0.35">
      <c r="A15">
        <v>14</v>
      </c>
      <c r="B15" t="s">
        <v>32</v>
      </c>
      <c r="C15" t="e" vm="26">
        <v>#VALUE!</v>
      </c>
      <c r="D15" t="e" cm="1" vm="12">
        <f t="array" ref="D15">_FV(C15,"Country/region",TRUE)</f>
        <v>#VALUE!</v>
      </c>
      <c r="E15" t="s">
        <v>8</v>
      </c>
      <c r="F15">
        <v>21</v>
      </c>
      <c r="G15" t="b">
        <v>0</v>
      </c>
    </row>
    <row r="16" spans="1:39" x14ac:dyDescent="0.35">
      <c r="A16">
        <v>15</v>
      </c>
      <c r="B16" t="s">
        <v>29</v>
      </c>
      <c r="C16" t="e" vm="27">
        <v>#VALUE!</v>
      </c>
      <c r="D16" t="e" cm="1" vm="12">
        <f t="array" ref="D16">_FV(C16,"Country/region",TRUE)</f>
        <v>#VALUE!</v>
      </c>
      <c r="E16" t="s">
        <v>8</v>
      </c>
      <c r="F16">
        <v>20</v>
      </c>
      <c r="G16" t="b">
        <v>0</v>
      </c>
    </row>
    <row r="17" spans="1:19" x14ac:dyDescent="0.35">
      <c r="A17">
        <v>16</v>
      </c>
      <c r="B17" t="s">
        <v>30</v>
      </c>
      <c r="C17" t="e" vm="28">
        <v>#VALUE!</v>
      </c>
      <c r="D17" t="e" cm="1" vm="29">
        <f t="array" ref="D17">_FV(C17,"Country/region",TRUE)</f>
        <v>#VALUE!</v>
      </c>
      <c r="E17" t="s">
        <v>8</v>
      </c>
      <c r="F17">
        <v>21</v>
      </c>
      <c r="G17" t="b">
        <v>0</v>
      </c>
    </row>
    <row r="18" spans="1:19" x14ac:dyDescent="0.35">
      <c r="A18">
        <v>17</v>
      </c>
      <c r="B18" t="s">
        <v>31</v>
      </c>
      <c r="C18" t="e" vm="30">
        <v>#VALUE!</v>
      </c>
      <c r="D18" t="e" cm="1" vm="31">
        <f t="array" ref="D18">_FV(C18,"Country/region",TRUE)</f>
        <v>#VALUE!</v>
      </c>
      <c r="E18" t="s">
        <v>10</v>
      </c>
      <c r="F18">
        <v>4</v>
      </c>
      <c r="G18" t="b">
        <v>0</v>
      </c>
    </row>
    <row r="19" spans="1:19" x14ac:dyDescent="0.35">
      <c r="A19">
        <v>18</v>
      </c>
      <c r="B19" t="s">
        <v>45</v>
      </c>
      <c r="C19" t="e" vm="32">
        <v>#VALUE!</v>
      </c>
      <c r="D19" t="e" cm="1" vm="33">
        <f t="array" ref="D19">_FV(C19,"Country/region",TRUE)</f>
        <v>#VALUE!</v>
      </c>
      <c r="E19" t="s">
        <v>10</v>
      </c>
      <c r="F19">
        <v>5</v>
      </c>
      <c r="G19" t="b">
        <v>0</v>
      </c>
    </row>
    <row r="23" spans="1:19" x14ac:dyDescent="0.35">
      <c r="A23" s="1" t="s">
        <v>42</v>
      </c>
      <c r="B23" t="s">
        <v>33</v>
      </c>
      <c r="C23" t="s">
        <v>43</v>
      </c>
      <c r="D23" t="s">
        <v>3</v>
      </c>
    </row>
    <row r="24" spans="1:19" x14ac:dyDescent="0.35">
      <c r="A24" t="s">
        <v>33</v>
      </c>
      <c r="B24" s="4">
        <v>1.6093440000000001E-2</v>
      </c>
      <c r="C24">
        <v>1600</v>
      </c>
      <c r="D24" s="5">
        <f>B24*C24</f>
        <v>25.749504000000002</v>
      </c>
      <c r="E24" t="s">
        <v>78</v>
      </c>
      <c r="H24" t="s">
        <v>7</v>
      </c>
      <c r="I24">
        <f>SUMIF($E$2:$E$19,H24,$F$2:$F$19)</f>
        <v>190</v>
      </c>
    </row>
    <row r="25" spans="1:19" x14ac:dyDescent="0.35">
      <c r="A25" t="s">
        <v>40</v>
      </c>
      <c r="B25">
        <v>135.83000000000001</v>
      </c>
      <c r="C25">
        <v>1600</v>
      </c>
      <c r="D25">
        <f>B25*C25/1000</f>
        <v>217.32800000000003</v>
      </c>
      <c r="E25" t="s">
        <v>77</v>
      </c>
      <c r="H25" t="s">
        <v>8</v>
      </c>
      <c r="I25">
        <f>SUMIF($E$2:$E$19,H25,$F$2:$F$19)</f>
        <v>91</v>
      </c>
    </row>
    <row r="26" spans="1:19" x14ac:dyDescent="0.35">
      <c r="A26" s="1" t="s">
        <v>41</v>
      </c>
      <c r="B26" t="s">
        <v>33</v>
      </c>
      <c r="C26" t="s">
        <v>43</v>
      </c>
      <c r="D26" t="s">
        <v>3</v>
      </c>
      <c r="H26" t="s">
        <v>11</v>
      </c>
      <c r="I26">
        <f>F5+F13</f>
        <v>171</v>
      </c>
    </row>
    <row r="27" spans="1:19" x14ac:dyDescent="0.35">
      <c r="A27" t="s">
        <v>33</v>
      </c>
      <c r="B27" s="4">
        <f>0.04*1.609344</f>
        <v>6.4373760000000002E-2</v>
      </c>
      <c r="C27">
        <v>1600</v>
      </c>
      <c r="D27" s="5">
        <f>B27*C27</f>
        <v>102.99801600000001</v>
      </c>
      <c r="E27" t="s">
        <v>78</v>
      </c>
      <c r="H27" t="s">
        <v>12</v>
      </c>
      <c r="I27">
        <f>SUMIF($E$2:$E$19,"Asia",$F$2:$F$19)-I26</f>
        <v>44</v>
      </c>
    </row>
    <row r="28" spans="1:19" x14ac:dyDescent="0.35">
      <c r="A28" t="s">
        <v>40</v>
      </c>
      <c r="B28">
        <v>15.6</v>
      </c>
      <c r="C28">
        <v>1600</v>
      </c>
      <c r="D28">
        <f>B28*C28/1000</f>
        <v>24.96</v>
      </c>
      <c r="E28" t="s">
        <v>77</v>
      </c>
      <c r="H28" t="s">
        <v>10</v>
      </c>
      <c r="I28">
        <f>SUMIF($E$2:$E$19,H28,$F$2:$F$19)</f>
        <v>10</v>
      </c>
    </row>
    <row r="30" spans="1:19" x14ac:dyDescent="0.35">
      <c r="A30" t="s">
        <v>37</v>
      </c>
      <c r="B30" t="str" cm="1">
        <f t="array" ref="B30:S30">TRANSPOSE(_xlfn.ANCHORARRAY(A31))</f>
        <v>MUN</v>
      </c>
      <c r="C30" t="str">
        <v>CHE</v>
      </c>
      <c r="D30" t="str">
        <v>BKK</v>
      </c>
      <c r="E30" t="str">
        <v>DAL</v>
      </c>
      <c r="F30" t="str">
        <v>TAM</v>
      </c>
      <c r="G30" t="str">
        <v>SAV</v>
      </c>
      <c r="H30" t="str">
        <v>ARA</v>
      </c>
      <c r="I30" t="str">
        <v>DUR</v>
      </c>
      <c r="J30" t="str">
        <v>GOA</v>
      </c>
      <c r="K30" t="str">
        <v>LON</v>
      </c>
      <c r="L30" t="str">
        <v>MOS</v>
      </c>
      <c r="M30" t="str">
        <v>HKG</v>
      </c>
      <c r="N30" t="str">
        <v>BUS</v>
      </c>
      <c r="O30" t="str">
        <v>LAX</v>
      </c>
      <c r="P30" t="str">
        <v>SEA</v>
      </c>
      <c r="Q30" t="str">
        <v>MON</v>
      </c>
      <c r="R30" t="str">
        <v>SYD</v>
      </c>
      <c r="S30" t="str">
        <v>DBI</v>
      </c>
    </row>
    <row r="31" spans="1:19" x14ac:dyDescent="0.35">
      <c r="A31" t="str" cm="1">
        <f t="array" ref="A31:A48">B2:B19</f>
        <v>MUN</v>
      </c>
      <c r="B31" t="s">
        <v>35</v>
      </c>
      <c r="C31" t="s">
        <v>36</v>
      </c>
      <c r="D31" t="s">
        <v>36</v>
      </c>
      <c r="E31" t="s">
        <v>36</v>
      </c>
      <c r="F31" t="s">
        <v>36</v>
      </c>
      <c r="G31" t="s">
        <v>36</v>
      </c>
      <c r="H31" t="s">
        <v>36</v>
      </c>
      <c r="I31" t="s">
        <v>36</v>
      </c>
      <c r="J31" t="s">
        <v>36</v>
      </c>
      <c r="K31" t="s">
        <v>36</v>
      </c>
      <c r="L31" t="s">
        <v>36</v>
      </c>
      <c r="M31" t="s">
        <v>36</v>
      </c>
      <c r="N31" t="s">
        <v>36</v>
      </c>
      <c r="O31" t="s">
        <v>36</v>
      </c>
      <c r="P31" t="s">
        <v>36</v>
      </c>
      <c r="Q31" t="s">
        <v>36</v>
      </c>
      <c r="R31" t="s">
        <v>36</v>
      </c>
      <c r="S31" t="s">
        <v>36</v>
      </c>
    </row>
    <row r="32" spans="1:19" x14ac:dyDescent="0.35">
      <c r="A32" t="str">
        <v>CHE</v>
      </c>
      <c r="B32" s="3" t="str" cm="1">
        <f t="array" ref="B32:B48">TRANSPOSE(C31:S31)</f>
        <v>N</v>
      </c>
      <c r="C32" t="s">
        <v>35</v>
      </c>
      <c r="D32">
        <v>5172</v>
      </c>
      <c r="E32" t="s">
        <v>36</v>
      </c>
      <c r="F32" t="s">
        <v>36</v>
      </c>
      <c r="G32" t="s">
        <v>36</v>
      </c>
      <c r="H32" t="s">
        <v>36</v>
      </c>
      <c r="I32">
        <v>8631</v>
      </c>
      <c r="J32">
        <v>10525</v>
      </c>
      <c r="K32" t="s">
        <v>36</v>
      </c>
      <c r="L32" t="s">
        <v>36</v>
      </c>
      <c r="M32" t="s">
        <v>36</v>
      </c>
      <c r="N32" t="s">
        <v>36</v>
      </c>
      <c r="O32" t="s">
        <v>36</v>
      </c>
      <c r="P32" t="s">
        <v>36</v>
      </c>
      <c r="Q32" t="s">
        <v>36</v>
      </c>
      <c r="R32">
        <v>10666</v>
      </c>
      <c r="S32">
        <v>4147</v>
      </c>
    </row>
    <row r="33" spans="1:19" x14ac:dyDescent="0.35">
      <c r="A33" t="str">
        <v>BKK</v>
      </c>
      <c r="B33" s="3" t="str">
        <v>N</v>
      </c>
      <c r="C33" s="3" cm="1">
        <f t="array" ref="C33:C48">TRANSPOSE(D32:S32)</f>
        <v>5172</v>
      </c>
      <c r="D33" t="s">
        <v>35</v>
      </c>
      <c r="E33" t="s">
        <v>36</v>
      </c>
      <c r="F33" t="s">
        <v>36</v>
      </c>
      <c r="G33" t="s">
        <v>36</v>
      </c>
      <c r="H33" t="s">
        <v>36</v>
      </c>
      <c r="I33" t="s">
        <v>36</v>
      </c>
      <c r="J33" t="s">
        <v>36</v>
      </c>
      <c r="K33" t="s">
        <v>36</v>
      </c>
      <c r="L33" t="s">
        <v>36</v>
      </c>
      <c r="M33">
        <v>2741</v>
      </c>
      <c r="N33" t="s">
        <v>36</v>
      </c>
      <c r="O33">
        <v>14911</v>
      </c>
      <c r="P33" t="s">
        <v>36</v>
      </c>
      <c r="Q33" t="s">
        <v>36</v>
      </c>
      <c r="R33">
        <v>10082</v>
      </c>
      <c r="S33" t="s">
        <v>36</v>
      </c>
    </row>
    <row r="34" spans="1:19" x14ac:dyDescent="0.35">
      <c r="A34" t="str">
        <v>DAL</v>
      </c>
      <c r="B34" s="3" t="str">
        <v>N</v>
      </c>
      <c r="C34" s="3" t="str">
        <v>N</v>
      </c>
      <c r="D34" s="3" t="str" cm="1">
        <f t="array" ref="D34:D48">TRANSPOSE(E33:S33)</f>
        <v>N</v>
      </c>
      <c r="E34" t="s">
        <v>35</v>
      </c>
      <c r="F34" t="s">
        <v>36</v>
      </c>
      <c r="G34" t="s">
        <v>36</v>
      </c>
      <c r="H34" t="s">
        <v>36</v>
      </c>
      <c r="I34" t="s">
        <v>36</v>
      </c>
      <c r="J34" t="s">
        <v>36</v>
      </c>
      <c r="K34" t="s">
        <v>36</v>
      </c>
      <c r="L34" t="s">
        <v>36</v>
      </c>
      <c r="M34">
        <v>3127</v>
      </c>
      <c r="N34">
        <v>1049</v>
      </c>
      <c r="O34" t="s">
        <v>36</v>
      </c>
      <c r="P34" t="s">
        <v>36</v>
      </c>
      <c r="Q34" t="s">
        <v>36</v>
      </c>
      <c r="R34">
        <v>10469</v>
      </c>
      <c r="S34" t="s">
        <v>36</v>
      </c>
    </row>
    <row r="35" spans="1:19" x14ac:dyDescent="0.35">
      <c r="A35" t="str">
        <v>TAM</v>
      </c>
      <c r="B35" s="3" t="str">
        <v>N</v>
      </c>
      <c r="C35" s="3" t="str">
        <v>N</v>
      </c>
      <c r="D35" s="3" t="str">
        <v>N</v>
      </c>
      <c r="E35" s="3" t="str" cm="1">
        <f t="array" ref="E35:E48">TRANSPOSE(F34:S34)</f>
        <v>N</v>
      </c>
      <c r="F35" t="s">
        <v>35</v>
      </c>
      <c r="G35">
        <v>3487</v>
      </c>
      <c r="H35">
        <v>12972</v>
      </c>
      <c r="I35" t="s">
        <v>36</v>
      </c>
      <c r="J35">
        <v>11119</v>
      </c>
      <c r="K35">
        <v>10390</v>
      </c>
      <c r="L35" t="s">
        <v>36</v>
      </c>
      <c r="M35" t="s">
        <v>36</v>
      </c>
      <c r="N35" t="s">
        <v>36</v>
      </c>
      <c r="O35" t="s">
        <v>36</v>
      </c>
      <c r="P35" t="s">
        <v>36</v>
      </c>
      <c r="Q35" t="s">
        <v>36</v>
      </c>
      <c r="R35" t="s">
        <v>36</v>
      </c>
      <c r="S35" t="s">
        <v>36</v>
      </c>
    </row>
    <row r="36" spans="1:19" x14ac:dyDescent="0.35">
      <c r="A36" t="str">
        <v>SAV</v>
      </c>
      <c r="B36" s="3" t="str">
        <v>N</v>
      </c>
      <c r="C36" s="3" t="str">
        <v>N</v>
      </c>
      <c r="D36" s="3" t="str">
        <v>N</v>
      </c>
      <c r="E36" s="3" t="str">
        <v>N</v>
      </c>
      <c r="F36" s="3" cm="1">
        <f t="array" ref="F36:F48">TRANSPOSE(G35:S35)</f>
        <v>3487</v>
      </c>
      <c r="G36" t="s">
        <v>35</v>
      </c>
      <c r="H36">
        <v>10214</v>
      </c>
      <c r="I36" t="s">
        <v>36</v>
      </c>
      <c r="J36" t="s">
        <v>36</v>
      </c>
      <c r="K36">
        <v>6901</v>
      </c>
      <c r="L36" t="s">
        <v>36</v>
      </c>
      <c r="M36" t="s">
        <v>36</v>
      </c>
      <c r="N36" t="s">
        <v>36</v>
      </c>
      <c r="O36" t="s">
        <v>35</v>
      </c>
      <c r="P36" t="s">
        <v>36</v>
      </c>
      <c r="Q36">
        <v>4087</v>
      </c>
      <c r="R36" t="s">
        <v>36</v>
      </c>
      <c r="S36" t="s">
        <v>36</v>
      </c>
    </row>
    <row r="37" spans="1:19" x14ac:dyDescent="0.35">
      <c r="A37" t="str">
        <v>ARA</v>
      </c>
      <c r="B37" s="3" t="str">
        <v>N</v>
      </c>
      <c r="C37" s="3" t="str">
        <v>N</v>
      </c>
      <c r="D37" s="3" t="str">
        <v>N</v>
      </c>
      <c r="E37" s="3" t="str">
        <v>N</v>
      </c>
      <c r="F37" s="3">
        <v>12972</v>
      </c>
      <c r="G37" s="3" cm="1">
        <f t="array" ref="G37:G48">TRANSPOSE(H36:S36)</f>
        <v>10214</v>
      </c>
      <c r="H37" t="s">
        <v>35</v>
      </c>
      <c r="I37" t="s">
        <v>36</v>
      </c>
      <c r="J37">
        <v>9912</v>
      </c>
      <c r="K37">
        <v>11106</v>
      </c>
      <c r="L37" t="s">
        <v>36</v>
      </c>
      <c r="M37" t="s">
        <v>36</v>
      </c>
      <c r="N37" t="s">
        <v>36</v>
      </c>
      <c r="O37" t="s">
        <v>36</v>
      </c>
      <c r="P37" t="s">
        <v>36</v>
      </c>
      <c r="Q37" t="s">
        <v>36</v>
      </c>
      <c r="R37" t="s">
        <v>36</v>
      </c>
      <c r="S37" t="s">
        <v>36</v>
      </c>
    </row>
    <row r="38" spans="1:19" x14ac:dyDescent="0.35">
      <c r="A38" t="str">
        <v>DUR</v>
      </c>
      <c r="B38" s="3" t="str">
        <v>N</v>
      </c>
      <c r="C38" s="3">
        <v>8631</v>
      </c>
      <c r="D38" s="3" t="str">
        <v>N</v>
      </c>
      <c r="E38" s="3" t="str">
        <v>N</v>
      </c>
      <c r="F38" s="3" t="str">
        <v>N</v>
      </c>
      <c r="G38" s="3" t="str">
        <v>N</v>
      </c>
      <c r="H38" s="3" t="str" cm="1">
        <f t="array" ref="H38:H48">TRANSPOSE(I37:S37)</f>
        <v>N</v>
      </c>
      <c r="I38" t="s">
        <v>35</v>
      </c>
      <c r="J38">
        <v>13575</v>
      </c>
      <c r="K38" t="s">
        <v>36</v>
      </c>
      <c r="L38" t="s">
        <v>36</v>
      </c>
      <c r="M38" t="s">
        <v>36</v>
      </c>
      <c r="N38" t="s">
        <v>36</v>
      </c>
      <c r="O38" t="s">
        <v>36</v>
      </c>
      <c r="P38" t="s">
        <v>36</v>
      </c>
      <c r="Q38" t="s">
        <v>36</v>
      </c>
      <c r="R38">
        <v>13955</v>
      </c>
      <c r="S38">
        <v>7544</v>
      </c>
    </row>
    <row r="39" spans="1:19" x14ac:dyDescent="0.35">
      <c r="A39" t="str">
        <v>GOA</v>
      </c>
      <c r="B39" s="3" t="str">
        <v>N</v>
      </c>
      <c r="C39" s="3">
        <v>10525</v>
      </c>
      <c r="D39" s="3" t="str">
        <v>N</v>
      </c>
      <c r="E39" s="3" t="str">
        <v>N</v>
      </c>
      <c r="F39" s="3">
        <v>11119</v>
      </c>
      <c r="G39" s="3" t="str">
        <v>N</v>
      </c>
      <c r="H39" s="3">
        <v>9912</v>
      </c>
      <c r="I39" s="3" cm="1">
        <f t="array" ref="I39:I48">TRANSPOSE(J38:S38)</f>
        <v>13575</v>
      </c>
      <c r="J39" t="s">
        <v>35</v>
      </c>
      <c r="K39">
        <v>4219</v>
      </c>
      <c r="L39" t="s">
        <v>36</v>
      </c>
      <c r="M39" t="s">
        <v>36</v>
      </c>
      <c r="N39" t="s">
        <v>36</v>
      </c>
      <c r="O39" t="s">
        <v>36</v>
      </c>
      <c r="P39" t="s">
        <v>36</v>
      </c>
      <c r="Q39" t="s">
        <v>36</v>
      </c>
      <c r="R39" t="s">
        <v>36</v>
      </c>
      <c r="S39">
        <v>8229</v>
      </c>
    </row>
    <row r="40" spans="1:19" x14ac:dyDescent="0.35">
      <c r="A40" t="str">
        <v>LON</v>
      </c>
      <c r="B40" s="3" t="str">
        <v>N</v>
      </c>
      <c r="C40" s="3" t="str">
        <v>N</v>
      </c>
      <c r="D40" s="3" t="str">
        <v>N</v>
      </c>
      <c r="E40" s="3" t="str">
        <v>N</v>
      </c>
      <c r="F40" s="3">
        <v>10390</v>
      </c>
      <c r="G40" s="3">
        <v>6901</v>
      </c>
      <c r="H40" s="3">
        <v>11106</v>
      </c>
      <c r="I40" s="3" t="str">
        <v>N</v>
      </c>
      <c r="J40" s="3" cm="1">
        <f t="array" ref="J40:J48">TRANSPOSE(K39:S39)</f>
        <v>4219</v>
      </c>
      <c r="K40" t="s">
        <v>35</v>
      </c>
      <c r="L40" t="s">
        <v>36</v>
      </c>
      <c r="M40" t="s">
        <v>36</v>
      </c>
      <c r="N40" t="s">
        <v>36</v>
      </c>
      <c r="O40" t="s">
        <v>36</v>
      </c>
      <c r="P40" t="s">
        <v>36</v>
      </c>
      <c r="Q40">
        <v>6810</v>
      </c>
      <c r="R40" t="s">
        <v>36</v>
      </c>
      <c r="S40" t="s">
        <v>36</v>
      </c>
    </row>
    <row r="41" spans="1:19" x14ac:dyDescent="0.35">
      <c r="A41" t="str">
        <v>MOS</v>
      </c>
      <c r="B41" s="3" t="str">
        <v>N</v>
      </c>
      <c r="C41" s="3" t="str">
        <v>N</v>
      </c>
      <c r="D41" s="3" t="str">
        <v>N</v>
      </c>
      <c r="E41" s="3" t="str">
        <v>N</v>
      </c>
      <c r="F41" s="3" t="str">
        <v>N</v>
      </c>
      <c r="G41" s="3" t="str">
        <v>N</v>
      </c>
      <c r="H41" s="3" t="str">
        <v>N</v>
      </c>
      <c r="I41" s="3" t="str">
        <v>N</v>
      </c>
      <c r="J41" s="3" t="str">
        <v>N</v>
      </c>
      <c r="K41" s="3" t="str" cm="1">
        <f t="array" ref="K41:K48">TRANSPOSE(L40:S40)</f>
        <v>N</v>
      </c>
      <c r="L41" t="s">
        <v>35</v>
      </c>
      <c r="M41" t="s">
        <v>36</v>
      </c>
      <c r="N41" t="s">
        <v>36</v>
      </c>
      <c r="O41" t="s">
        <v>36</v>
      </c>
      <c r="P41" t="s">
        <v>36</v>
      </c>
      <c r="Q41" t="s">
        <v>36</v>
      </c>
      <c r="R41" t="s">
        <v>36</v>
      </c>
      <c r="S41" t="s">
        <v>36</v>
      </c>
    </row>
    <row r="42" spans="1:19" x14ac:dyDescent="0.35">
      <c r="A42" t="str">
        <v>HKG</v>
      </c>
      <c r="B42" s="3" t="str">
        <v>N</v>
      </c>
      <c r="C42" s="3" t="str">
        <v>N</v>
      </c>
      <c r="D42" s="3">
        <v>2741</v>
      </c>
      <c r="E42" s="3">
        <v>3127</v>
      </c>
      <c r="F42" s="3" t="str">
        <v>N</v>
      </c>
      <c r="G42" s="3" t="str">
        <v>N</v>
      </c>
      <c r="H42" s="3" t="str">
        <v>N</v>
      </c>
      <c r="I42" s="3" t="str">
        <v>N</v>
      </c>
      <c r="J42" s="3" t="str">
        <v>N</v>
      </c>
      <c r="K42" s="3" t="str">
        <v>N</v>
      </c>
      <c r="L42" s="3" t="str" cm="1">
        <f t="array" ref="L42:L48">TRANSPOSE(M41:S41)</f>
        <v>N</v>
      </c>
      <c r="M42" t="s">
        <v>35</v>
      </c>
      <c r="N42">
        <v>2219</v>
      </c>
      <c r="O42">
        <v>12556</v>
      </c>
      <c r="P42" t="s">
        <v>36</v>
      </c>
      <c r="Q42" t="s">
        <v>36</v>
      </c>
      <c r="R42" t="s">
        <v>36</v>
      </c>
      <c r="S42" t="s">
        <v>36</v>
      </c>
    </row>
    <row r="43" spans="1:19" x14ac:dyDescent="0.35">
      <c r="A43" t="str">
        <v>BUS</v>
      </c>
      <c r="B43" s="3" t="str">
        <v>N</v>
      </c>
      <c r="C43" s="3" t="str">
        <v>N</v>
      </c>
      <c r="D43" s="3" t="str">
        <v>N</v>
      </c>
      <c r="E43" s="3">
        <v>1049</v>
      </c>
      <c r="F43" s="3" t="str">
        <v>N</v>
      </c>
      <c r="G43" s="3" t="str">
        <v>N</v>
      </c>
      <c r="H43" s="3" t="str">
        <v>N</v>
      </c>
      <c r="I43" s="3" t="str">
        <v>N</v>
      </c>
      <c r="J43" s="3" t="str">
        <v>N</v>
      </c>
      <c r="K43" s="3" t="str">
        <v>N</v>
      </c>
      <c r="L43" s="3" t="str">
        <v>N</v>
      </c>
      <c r="M43" s="3" cm="1">
        <f t="array" ref="M43:M48">TRANSPOSE(N42:S42)</f>
        <v>2219</v>
      </c>
      <c r="N43" t="s">
        <v>35</v>
      </c>
      <c r="O43">
        <v>10237</v>
      </c>
      <c r="P43">
        <v>9264</v>
      </c>
      <c r="Q43" t="s">
        <v>36</v>
      </c>
      <c r="R43" t="s">
        <v>36</v>
      </c>
      <c r="S43" t="s">
        <v>36</v>
      </c>
    </row>
    <row r="44" spans="1:19" x14ac:dyDescent="0.35">
      <c r="A44" t="str">
        <v>LAX</v>
      </c>
      <c r="B44" s="3" t="str">
        <v>N</v>
      </c>
      <c r="C44" s="3" t="str">
        <v>N</v>
      </c>
      <c r="D44" s="3">
        <v>14911</v>
      </c>
      <c r="E44" s="3" t="str">
        <v>N</v>
      </c>
      <c r="F44" s="3" t="str">
        <v>N</v>
      </c>
      <c r="G44" s="3" t="str">
        <v>X</v>
      </c>
      <c r="H44" s="3" t="str">
        <v>N</v>
      </c>
      <c r="I44" s="3" t="str">
        <v>N</v>
      </c>
      <c r="J44" s="3" t="str">
        <v>N</v>
      </c>
      <c r="K44" s="3" t="str">
        <v>N</v>
      </c>
      <c r="L44" s="3" t="str">
        <v>N</v>
      </c>
      <c r="M44" s="3">
        <v>12556</v>
      </c>
      <c r="N44" s="3" cm="1">
        <f t="array" ref="N44:N48">TRANSPOSE(O43:S43)</f>
        <v>10237</v>
      </c>
      <c r="O44" t="s">
        <v>35</v>
      </c>
      <c r="P44">
        <v>2315</v>
      </c>
      <c r="Q44" t="s">
        <v>36</v>
      </c>
      <c r="R44">
        <v>13280</v>
      </c>
      <c r="S44" t="s">
        <v>36</v>
      </c>
    </row>
    <row r="45" spans="1:19" x14ac:dyDescent="0.35">
      <c r="A45" t="str">
        <v>SEA</v>
      </c>
      <c r="B45" s="3" t="str">
        <v>N</v>
      </c>
      <c r="C45" s="3" t="str">
        <v>N</v>
      </c>
      <c r="D45" s="3" t="str">
        <v>N</v>
      </c>
      <c r="E45" s="3" t="str">
        <v>N</v>
      </c>
      <c r="F45" s="3" t="str">
        <v>N</v>
      </c>
      <c r="G45" s="3" t="str">
        <v>N</v>
      </c>
      <c r="H45" s="3" t="str">
        <v>N</v>
      </c>
      <c r="I45" s="3" t="str">
        <v>N</v>
      </c>
      <c r="J45" s="3" t="str">
        <v>N</v>
      </c>
      <c r="K45" s="3" t="str">
        <v>N</v>
      </c>
      <c r="L45" s="3" t="str">
        <v>N</v>
      </c>
      <c r="M45" s="3" t="str">
        <v>N</v>
      </c>
      <c r="N45" s="3">
        <v>9264</v>
      </c>
      <c r="O45" s="3" cm="1">
        <f t="array" ref="O45:O48">TRANSPOSE(P44:S44)</f>
        <v>2315</v>
      </c>
      <c r="P45" t="s">
        <v>35</v>
      </c>
      <c r="Q45" t="s">
        <v>36</v>
      </c>
      <c r="R45" t="s">
        <v>36</v>
      </c>
      <c r="S45" t="s">
        <v>36</v>
      </c>
    </row>
    <row r="46" spans="1:19" x14ac:dyDescent="0.35">
      <c r="A46" t="str">
        <v>MON</v>
      </c>
      <c r="B46" s="3" t="str">
        <v>N</v>
      </c>
      <c r="C46" s="3" t="str">
        <v>N</v>
      </c>
      <c r="D46" s="3" t="str">
        <v>N</v>
      </c>
      <c r="E46" s="3" t="str">
        <v>N</v>
      </c>
      <c r="F46" s="3" t="str">
        <v>N</v>
      </c>
      <c r="G46" s="3">
        <v>4087</v>
      </c>
      <c r="H46" s="3" t="str">
        <v>N</v>
      </c>
      <c r="I46" s="3" t="str">
        <v>N</v>
      </c>
      <c r="J46" s="3" t="str">
        <v>N</v>
      </c>
      <c r="K46" s="3">
        <v>6810</v>
      </c>
      <c r="L46" s="3" t="str">
        <v>N</v>
      </c>
      <c r="M46" s="3" t="str">
        <v>N</v>
      </c>
      <c r="N46" s="3" t="str">
        <v>N</v>
      </c>
      <c r="O46" s="3" t="str">
        <v>N</v>
      </c>
      <c r="P46" s="3" t="str" cm="1">
        <f t="array" ref="P46:P48">TRANSPOSE(Q45:S45)</f>
        <v>N</v>
      </c>
      <c r="Q46" t="s">
        <v>35</v>
      </c>
      <c r="R46" t="s">
        <v>36</v>
      </c>
      <c r="S46" t="s">
        <v>36</v>
      </c>
    </row>
    <row r="47" spans="1:19" x14ac:dyDescent="0.35">
      <c r="A47" t="str">
        <v>SYD</v>
      </c>
      <c r="B47" s="3" t="str">
        <v>N</v>
      </c>
      <c r="C47" s="3">
        <v>10666</v>
      </c>
      <c r="D47" s="3">
        <v>10082</v>
      </c>
      <c r="E47" s="3">
        <v>10469</v>
      </c>
      <c r="F47" s="3" t="str">
        <v>N</v>
      </c>
      <c r="G47" s="3" t="str">
        <v>N</v>
      </c>
      <c r="H47" s="3" t="str">
        <v>N</v>
      </c>
      <c r="I47" s="3">
        <v>13955</v>
      </c>
      <c r="J47" s="3" t="str">
        <v>N</v>
      </c>
      <c r="K47" s="3" t="str">
        <v>N</v>
      </c>
      <c r="L47" s="3" t="str">
        <v>N</v>
      </c>
      <c r="M47" s="3" t="str">
        <v>N</v>
      </c>
      <c r="N47" s="3" t="str">
        <v>N</v>
      </c>
      <c r="O47" s="3">
        <v>13280</v>
      </c>
      <c r="P47" s="3" t="str">
        <v>N</v>
      </c>
      <c r="Q47" s="3" t="str" cm="1">
        <f t="array" ref="Q47:Q48">TRANSPOSE(R46:S46)</f>
        <v>N</v>
      </c>
      <c r="R47" t="s">
        <v>35</v>
      </c>
      <c r="S47" t="s">
        <v>36</v>
      </c>
    </row>
    <row r="48" spans="1:19" x14ac:dyDescent="0.35">
      <c r="A48" t="str">
        <v>DBI</v>
      </c>
      <c r="B48" s="3" t="str">
        <v>N</v>
      </c>
      <c r="C48" s="3">
        <v>4147</v>
      </c>
      <c r="D48" s="3" t="str">
        <v>N</v>
      </c>
      <c r="E48" s="3" t="str">
        <v>N</v>
      </c>
      <c r="F48" s="3" t="str">
        <v>N</v>
      </c>
      <c r="G48" s="3" t="str">
        <v>N</v>
      </c>
      <c r="H48" s="3" t="str">
        <v>N</v>
      </c>
      <c r="I48" s="3">
        <v>7544</v>
      </c>
      <c r="J48" s="3">
        <v>8229</v>
      </c>
      <c r="K48" s="3" t="str">
        <v>N</v>
      </c>
      <c r="L48" s="3" t="str">
        <v>N</v>
      </c>
      <c r="M48" s="3" t="str">
        <v>N</v>
      </c>
      <c r="N48" s="3" t="str">
        <v>N</v>
      </c>
      <c r="O48" s="3" t="str">
        <v>N</v>
      </c>
      <c r="P48" s="3" t="str">
        <v>N</v>
      </c>
      <c r="Q48" s="3" t="str">
        <v>N</v>
      </c>
      <c r="R48" s="3" t="str" cm="1">
        <f t="array" ref="R48">TRANSPOSE(S47)</f>
        <v>N</v>
      </c>
      <c r="S48" t="s">
        <v>35</v>
      </c>
    </row>
    <row r="50" spans="1:19" x14ac:dyDescent="0.35">
      <c r="A50" t="s">
        <v>38</v>
      </c>
      <c r="B50" t="str" cm="1">
        <f t="array" ref="B50:S50">TRANSPOSE(B2:B19)</f>
        <v>MUN</v>
      </c>
      <c r="C50" t="str">
        <v>CHE</v>
      </c>
      <c r="D50" t="str">
        <v>BKK</v>
      </c>
      <c r="E50" t="str">
        <v>DAL</v>
      </c>
      <c r="F50" t="str">
        <v>TAM</v>
      </c>
      <c r="G50" t="str">
        <v>SAV</v>
      </c>
      <c r="H50" t="str">
        <v>ARA</v>
      </c>
      <c r="I50" t="str">
        <v>DUR</v>
      </c>
      <c r="J50" t="str">
        <v>GOA</v>
      </c>
      <c r="K50" t="str">
        <v>LON</v>
      </c>
      <c r="L50" t="str">
        <v>MOS</v>
      </c>
      <c r="M50" t="str">
        <v>HKG</v>
      </c>
      <c r="N50" t="str">
        <v>BUS</v>
      </c>
      <c r="O50" t="str">
        <v>LAX</v>
      </c>
      <c r="P50" t="str">
        <v>SEA</v>
      </c>
      <c r="Q50" t="str">
        <v>MON</v>
      </c>
      <c r="R50" t="str">
        <v>SYD</v>
      </c>
      <c r="S50" t="str">
        <v>DBI</v>
      </c>
    </row>
    <row r="51" spans="1:19" x14ac:dyDescent="0.35">
      <c r="A51" t="str" cm="1">
        <f t="array" ref="A51:A68">B2:B19</f>
        <v>MUN</v>
      </c>
      <c r="B51" t="s">
        <v>35</v>
      </c>
      <c r="C51" t="s">
        <v>36</v>
      </c>
      <c r="D51" t="s">
        <v>36</v>
      </c>
      <c r="E51" t="s">
        <v>36</v>
      </c>
      <c r="F51" t="s">
        <v>36</v>
      </c>
      <c r="G51" t="s">
        <v>36</v>
      </c>
      <c r="H51" t="s">
        <v>36</v>
      </c>
      <c r="I51" t="s">
        <v>36</v>
      </c>
      <c r="J51">
        <v>461</v>
      </c>
      <c r="K51">
        <v>913</v>
      </c>
      <c r="L51">
        <v>2361</v>
      </c>
      <c r="M51" t="s">
        <v>36</v>
      </c>
      <c r="N51" t="s">
        <v>36</v>
      </c>
      <c r="O51" t="s">
        <v>36</v>
      </c>
      <c r="P51" t="s">
        <v>36</v>
      </c>
      <c r="Q51" t="s">
        <v>36</v>
      </c>
      <c r="R51" t="s">
        <v>36</v>
      </c>
      <c r="S51" t="s">
        <v>36</v>
      </c>
    </row>
    <row r="52" spans="1:19" x14ac:dyDescent="0.35">
      <c r="A52" t="str">
        <v>CHE</v>
      </c>
      <c r="B52" s="3" t="str" cm="1">
        <f t="array" ref="B52:B68">TRANSPOSE(C51:S51)</f>
        <v>N</v>
      </c>
      <c r="C52" t="s">
        <v>35</v>
      </c>
      <c r="D52" t="s">
        <v>36</v>
      </c>
      <c r="E52" t="s">
        <v>36</v>
      </c>
      <c r="F52" t="s">
        <v>36</v>
      </c>
      <c r="G52" t="s">
        <v>36</v>
      </c>
      <c r="H52" t="s">
        <v>36</v>
      </c>
      <c r="I52" t="s">
        <v>36</v>
      </c>
      <c r="J52" t="s">
        <v>36</v>
      </c>
      <c r="K52" t="s">
        <v>36</v>
      </c>
      <c r="L52" t="s">
        <v>36</v>
      </c>
      <c r="M52" t="s">
        <v>36</v>
      </c>
      <c r="N52" t="s">
        <v>36</v>
      </c>
      <c r="O52" t="s">
        <v>36</v>
      </c>
      <c r="P52" t="s">
        <v>36</v>
      </c>
      <c r="Q52" t="s">
        <v>36</v>
      </c>
      <c r="R52" t="s">
        <v>36</v>
      </c>
      <c r="S52" t="s">
        <v>36</v>
      </c>
    </row>
    <row r="53" spans="1:19" x14ac:dyDescent="0.35">
      <c r="A53" t="str">
        <v>BKK</v>
      </c>
      <c r="B53" s="3" t="str">
        <v>N</v>
      </c>
      <c r="C53" s="3" t="str" cm="1">
        <f t="array" ref="C53:C68">TRANSPOSE(D52:S52)</f>
        <v>N</v>
      </c>
      <c r="D53" t="s">
        <v>35</v>
      </c>
      <c r="E53" t="s">
        <v>36</v>
      </c>
      <c r="F53" t="s">
        <v>36</v>
      </c>
      <c r="G53" t="s">
        <v>36</v>
      </c>
      <c r="H53" t="s">
        <v>36</v>
      </c>
      <c r="I53" t="s">
        <v>36</v>
      </c>
      <c r="J53" t="s">
        <v>36</v>
      </c>
      <c r="K53" t="s">
        <v>36</v>
      </c>
      <c r="L53" t="s">
        <v>36</v>
      </c>
      <c r="M53" t="s">
        <v>36</v>
      </c>
      <c r="N53" t="s">
        <v>36</v>
      </c>
      <c r="O53" t="s">
        <v>36</v>
      </c>
      <c r="P53" t="s">
        <v>36</v>
      </c>
      <c r="Q53" t="s">
        <v>36</v>
      </c>
      <c r="R53" t="s">
        <v>36</v>
      </c>
      <c r="S53" t="s">
        <v>36</v>
      </c>
    </row>
    <row r="54" spans="1:19" x14ac:dyDescent="0.35">
      <c r="A54" t="str">
        <v>DAL</v>
      </c>
      <c r="B54" s="3" t="str">
        <v>N</v>
      </c>
      <c r="C54" s="3" t="str">
        <v>N</v>
      </c>
      <c r="D54" s="3" t="str" cm="1">
        <f t="array" ref="D54:D68">TRANSPOSE(E53:S53)</f>
        <v>N</v>
      </c>
      <c r="E54" t="s">
        <v>35</v>
      </c>
      <c r="F54" t="s">
        <v>36</v>
      </c>
      <c r="G54" t="s">
        <v>36</v>
      </c>
      <c r="H54" t="s">
        <v>36</v>
      </c>
      <c r="I54" t="s">
        <v>36</v>
      </c>
      <c r="J54" t="s">
        <v>36</v>
      </c>
      <c r="K54" t="s">
        <v>36</v>
      </c>
      <c r="L54">
        <v>8195</v>
      </c>
      <c r="M54">
        <v>2968</v>
      </c>
      <c r="N54" t="s">
        <v>36</v>
      </c>
      <c r="O54" t="s">
        <v>36</v>
      </c>
      <c r="P54" t="s">
        <v>36</v>
      </c>
      <c r="Q54" t="s">
        <v>36</v>
      </c>
      <c r="R54" t="s">
        <v>36</v>
      </c>
      <c r="S54" t="s">
        <v>36</v>
      </c>
    </row>
    <row r="55" spans="1:19" x14ac:dyDescent="0.35">
      <c r="A55" t="str">
        <v>TAM</v>
      </c>
      <c r="B55" s="3" t="str">
        <v>N</v>
      </c>
      <c r="C55" s="3" t="str">
        <v>N</v>
      </c>
      <c r="D55" s="3" t="str">
        <v>N</v>
      </c>
      <c r="E55" s="3" t="str" cm="1">
        <f t="array" ref="E55:E68">TRANSPOSE(F54:S54)</f>
        <v>N</v>
      </c>
      <c r="F55" t="s">
        <v>35</v>
      </c>
      <c r="G55">
        <v>2601</v>
      </c>
      <c r="H55" t="s">
        <v>36</v>
      </c>
      <c r="I55" t="s">
        <v>36</v>
      </c>
      <c r="J55" t="s">
        <v>36</v>
      </c>
      <c r="K55" t="s">
        <v>36</v>
      </c>
      <c r="L55" t="s">
        <v>36</v>
      </c>
      <c r="M55" t="s">
        <v>36</v>
      </c>
      <c r="N55" t="s">
        <v>36</v>
      </c>
      <c r="O55">
        <v>3102</v>
      </c>
      <c r="P55" t="s">
        <v>36</v>
      </c>
      <c r="Q55" t="s">
        <v>36</v>
      </c>
      <c r="R55" t="s">
        <v>36</v>
      </c>
      <c r="S55" t="s">
        <v>36</v>
      </c>
    </row>
    <row r="56" spans="1:19" x14ac:dyDescent="0.35">
      <c r="A56" t="str">
        <v>SAV</v>
      </c>
      <c r="B56" s="3" t="str">
        <v>N</v>
      </c>
      <c r="C56" s="3" t="str">
        <v>N</v>
      </c>
      <c r="D56" s="3" t="str">
        <v>N</v>
      </c>
      <c r="E56" s="3" t="str">
        <v>N</v>
      </c>
      <c r="F56" s="3" cm="1">
        <f t="array" ref="F56:F68">TRANSPOSE(G55:S55)</f>
        <v>2601</v>
      </c>
      <c r="G56" t="s">
        <v>35</v>
      </c>
      <c r="H56" t="s">
        <v>36</v>
      </c>
      <c r="I56" t="s">
        <v>36</v>
      </c>
      <c r="J56" t="s">
        <v>36</v>
      </c>
      <c r="K56" t="s">
        <v>36</v>
      </c>
      <c r="L56" t="s">
        <v>36</v>
      </c>
      <c r="M56" t="s">
        <v>36</v>
      </c>
      <c r="N56" t="s">
        <v>36</v>
      </c>
      <c r="O56">
        <v>3894</v>
      </c>
      <c r="P56">
        <v>4685</v>
      </c>
      <c r="Q56">
        <v>1869</v>
      </c>
      <c r="R56" t="s">
        <v>36</v>
      </c>
      <c r="S56" t="s">
        <v>36</v>
      </c>
    </row>
    <row r="57" spans="1:19" x14ac:dyDescent="0.35">
      <c r="A57" t="str">
        <v>ARA</v>
      </c>
      <c r="B57" s="3" t="str">
        <v>N</v>
      </c>
      <c r="C57" s="3" t="str">
        <v>N</v>
      </c>
      <c r="D57" s="3" t="str">
        <v>N</v>
      </c>
      <c r="E57" s="3" t="str">
        <v>N</v>
      </c>
      <c r="F57" s="3" t="str">
        <v>N</v>
      </c>
      <c r="G57" s="3" t="str" cm="1">
        <f t="array" ref="G57:G68">TRANSPOSE(H56:S56)</f>
        <v>N</v>
      </c>
      <c r="H57" t="s">
        <v>35</v>
      </c>
      <c r="I57" t="s">
        <v>36</v>
      </c>
      <c r="J57" t="s">
        <v>36</v>
      </c>
      <c r="K57" t="s">
        <v>36</v>
      </c>
      <c r="L57" t="s">
        <v>36</v>
      </c>
      <c r="M57" t="s">
        <v>36</v>
      </c>
      <c r="N57" t="s">
        <v>36</v>
      </c>
      <c r="O57" t="s">
        <v>36</v>
      </c>
      <c r="P57" t="s">
        <v>36</v>
      </c>
      <c r="Q57" t="s">
        <v>36</v>
      </c>
      <c r="R57" t="s">
        <v>36</v>
      </c>
      <c r="S57" t="s">
        <v>36</v>
      </c>
    </row>
    <row r="58" spans="1:19" x14ac:dyDescent="0.35">
      <c r="A58" t="str">
        <v>DUR</v>
      </c>
      <c r="B58" s="3" t="str">
        <v>N</v>
      </c>
      <c r="C58" s="3" t="str">
        <v>N</v>
      </c>
      <c r="D58" s="3" t="str">
        <v>N</v>
      </c>
      <c r="E58" s="3" t="str">
        <v>N</v>
      </c>
      <c r="F58" s="3" t="str">
        <v>N</v>
      </c>
      <c r="G58" s="3" t="str">
        <v>N</v>
      </c>
      <c r="H58" s="3" t="str" cm="1">
        <f t="array" ref="H58:H68">TRANSPOSE(I57:S57)</f>
        <v>N</v>
      </c>
      <c r="I58" t="s">
        <v>35</v>
      </c>
      <c r="J58" t="s">
        <v>36</v>
      </c>
      <c r="K58" t="s">
        <v>36</v>
      </c>
      <c r="L58" t="s">
        <v>36</v>
      </c>
      <c r="M58" t="s">
        <v>36</v>
      </c>
      <c r="N58" t="s">
        <v>36</v>
      </c>
      <c r="O58" t="s">
        <v>36</v>
      </c>
      <c r="P58" t="s">
        <v>36</v>
      </c>
      <c r="Q58" t="s">
        <v>36</v>
      </c>
      <c r="R58" t="s">
        <v>36</v>
      </c>
      <c r="S58" t="s">
        <v>36</v>
      </c>
    </row>
    <row r="59" spans="1:19" x14ac:dyDescent="0.35">
      <c r="A59" t="str">
        <v>GOA</v>
      </c>
      <c r="B59" s="3">
        <v>461</v>
      </c>
      <c r="C59" s="3" t="str">
        <v>N</v>
      </c>
      <c r="D59" s="3" t="str">
        <v>N</v>
      </c>
      <c r="E59" s="3" t="str">
        <v>N</v>
      </c>
      <c r="F59" s="3" t="str">
        <v>N</v>
      </c>
      <c r="G59" s="3" t="str">
        <v>N</v>
      </c>
      <c r="H59" s="3" t="str">
        <v>N</v>
      </c>
      <c r="I59" s="3" t="str" cm="1">
        <f t="array" ref="I59:I68">TRANSPOSE(J58:S58)</f>
        <v>N</v>
      </c>
      <c r="J59" t="s">
        <v>35</v>
      </c>
      <c r="K59">
        <v>1033</v>
      </c>
      <c r="L59" t="s">
        <v>36</v>
      </c>
      <c r="M59" t="s">
        <v>36</v>
      </c>
      <c r="N59" t="s">
        <v>36</v>
      </c>
      <c r="O59" t="s">
        <v>36</v>
      </c>
      <c r="P59" t="s">
        <v>36</v>
      </c>
      <c r="Q59" t="s">
        <v>36</v>
      </c>
      <c r="R59" t="s">
        <v>36</v>
      </c>
      <c r="S59" t="s">
        <v>36</v>
      </c>
    </row>
    <row r="60" spans="1:19" x14ac:dyDescent="0.35">
      <c r="A60" t="str">
        <v>LON</v>
      </c>
      <c r="B60" s="3">
        <v>913</v>
      </c>
      <c r="C60" s="3" t="str">
        <v>N</v>
      </c>
      <c r="D60" s="3" t="str">
        <v>N</v>
      </c>
      <c r="E60" s="3" t="str">
        <v>N</v>
      </c>
      <c r="F60" s="3" t="str">
        <v>N</v>
      </c>
      <c r="G60" s="3" t="str">
        <v>N</v>
      </c>
      <c r="H60" s="3" t="str">
        <v>N</v>
      </c>
      <c r="I60" s="3" t="str">
        <v>N</v>
      </c>
      <c r="J60" s="3" cm="1">
        <f t="array" ref="J60:J68">TRANSPOSE(K59:S59)</f>
        <v>1033</v>
      </c>
      <c r="K60" t="s">
        <v>35</v>
      </c>
      <c r="L60" t="s">
        <v>36</v>
      </c>
      <c r="M60" t="s">
        <v>36</v>
      </c>
      <c r="N60" t="s">
        <v>36</v>
      </c>
      <c r="O60" t="s">
        <v>36</v>
      </c>
      <c r="P60" t="s">
        <v>36</v>
      </c>
      <c r="Q60" t="s">
        <v>36</v>
      </c>
      <c r="R60" t="s">
        <v>36</v>
      </c>
      <c r="S60" t="s">
        <v>36</v>
      </c>
    </row>
    <row r="61" spans="1:19" x14ac:dyDescent="0.35">
      <c r="A61" t="str">
        <v>MOS</v>
      </c>
      <c r="B61" s="3">
        <v>2361</v>
      </c>
      <c r="C61" s="3" t="str">
        <v>N</v>
      </c>
      <c r="D61" s="3" t="str">
        <v>N</v>
      </c>
      <c r="E61" s="3">
        <v>8195</v>
      </c>
      <c r="F61" s="3" t="str">
        <v>N</v>
      </c>
      <c r="G61" s="3" t="str">
        <v>N</v>
      </c>
      <c r="H61" s="3" t="str">
        <v>N</v>
      </c>
      <c r="I61" s="3" t="str">
        <v>N</v>
      </c>
      <c r="J61" s="3" t="str">
        <v>N</v>
      </c>
      <c r="K61" s="3" t="str" cm="1">
        <f t="array" ref="K61:K68">TRANSPOSE(L60:S60)</f>
        <v>N</v>
      </c>
      <c r="L61" t="s">
        <v>35</v>
      </c>
      <c r="M61" t="s">
        <v>36</v>
      </c>
      <c r="N61" t="s">
        <v>36</v>
      </c>
      <c r="O61" t="s">
        <v>36</v>
      </c>
      <c r="P61" t="s">
        <v>36</v>
      </c>
      <c r="Q61" t="s">
        <v>36</v>
      </c>
      <c r="R61" t="s">
        <v>36</v>
      </c>
      <c r="S61" t="s">
        <v>36</v>
      </c>
    </row>
    <row r="62" spans="1:19" x14ac:dyDescent="0.35">
      <c r="A62" t="str">
        <v>HKG</v>
      </c>
      <c r="B62" s="3" t="str">
        <v>N</v>
      </c>
      <c r="C62" s="3" t="str">
        <v>N</v>
      </c>
      <c r="D62" s="3" t="str">
        <v>N</v>
      </c>
      <c r="E62" s="3">
        <v>2968</v>
      </c>
      <c r="F62" s="3" t="str">
        <v>N</v>
      </c>
      <c r="G62" s="3" t="str">
        <v>N</v>
      </c>
      <c r="H62" s="3" t="str">
        <v>N</v>
      </c>
      <c r="I62" s="3" t="str">
        <v>N</v>
      </c>
      <c r="J62" s="3" t="str">
        <v>N</v>
      </c>
      <c r="K62" s="3" t="str">
        <v>N</v>
      </c>
      <c r="L62" s="3" t="str" cm="1">
        <f t="array" ref="L62:L68">TRANSPOSE(M61:S61)</f>
        <v>N</v>
      </c>
      <c r="M62" t="s">
        <v>35</v>
      </c>
      <c r="N62" t="s">
        <v>36</v>
      </c>
      <c r="O62" t="s">
        <v>36</v>
      </c>
      <c r="P62" t="s">
        <v>36</v>
      </c>
      <c r="Q62" t="s">
        <v>36</v>
      </c>
      <c r="R62" t="s">
        <v>36</v>
      </c>
      <c r="S62" t="s">
        <v>36</v>
      </c>
    </row>
    <row r="63" spans="1:19" x14ac:dyDescent="0.35">
      <c r="A63" t="str">
        <v>BUS</v>
      </c>
      <c r="B63" s="3" t="str">
        <v>N</v>
      </c>
      <c r="C63" s="3" t="str">
        <v>N</v>
      </c>
      <c r="D63" s="3" t="str">
        <v>N</v>
      </c>
      <c r="E63" s="3" t="str">
        <v>N</v>
      </c>
      <c r="F63" s="3" t="str">
        <v>N</v>
      </c>
      <c r="G63" s="3" t="str">
        <v>N</v>
      </c>
      <c r="H63" s="3" t="str">
        <v>N</v>
      </c>
      <c r="I63" s="3" t="str">
        <v>N</v>
      </c>
      <c r="J63" s="3" t="str">
        <v>N</v>
      </c>
      <c r="K63" s="3" t="str">
        <v>N</v>
      </c>
      <c r="L63" s="3" t="str">
        <v>N</v>
      </c>
      <c r="M63" s="3" t="str" cm="1">
        <f t="array" ref="M63:M68">TRANSPOSE(N62:S62)</f>
        <v>N</v>
      </c>
      <c r="N63" t="s">
        <v>35</v>
      </c>
      <c r="O63" t="s">
        <v>36</v>
      </c>
      <c r="P63" t="s">
        <v>36</v>
      </c>
      <c r="Q63" t="s">
        <v>36</v>
      </c>
      <c r="R63" t="s">
        <v>36</v>
      </c>
      <c r="S63" t="s">
        <v>36</v>
      </c>
    </row>
    <row r="64" spans="1:19" x14ac:dyDescent="0.35">
      <c r="A64" t="str">
        <v>LAX</v>
      </c>
      <c r="B64" s="3" t="str">
        <v>N</v>
      </c>
      <c r="C64" s="3" t="str">
        <v>N</v>
      </c>
      <c r="D64" s="3" t="str">
        <v>N</v>
      </c>
      <c r="E64" s="3" t="str">
        <v>N</v>
      </c>
      <c r="F64" s="3">
        <v>3102</v>
      </c>
      <c r="G64" s="3">
        <v>3894</v>
      </c>
      <c r="H64" s="3" t="str">
        <v>N</v>
      </c>
      <c r="I64" s="3" t="str">
        <v>N</v>
      </c>
      <c r="J64" s="3" t="str">
        <v>N</v>
      </c>
      <c r="K64" s="3" t="str">
        <v>N</v>
      </c>
      <c r="L64" s="3" t="str">
        <v>N</v>
      </c>
      <c r="M64" s="3" t="str">
        <v>N</v>
      </c>
      <c r="N64" s="3" t="str" cm="1">
        <f t="array" ref="N64:N68">TRANSPOSE(O63:S63)</f>
        <v>N</v>
      </c>
      <c r="O64" t="s">
        <v>35</v>
      </c>
      <c r="P64">
        <v>1827</v>
      </c>
      <c r="Q64">
        <v>4575</v>
      </c>
      <c r="R64" t="s">
        <v>36</v>
      </c>
      <c r="S64" t="s">
        <v>36</v>
      </c>
    </row>
    <row r="65" spans="1:19" x14ac:dyDescent="0.35">
      <c r="A65" t="str">
        <v>SEA</v>
      </c>
      <c r="B65" s="3" t="str">
        <v>N</v>
      </c>
      <c r="C65" s="3" t="str">
        <v>N</v>
      </c>
      <c r="D65" s="3" t="str">
        <v>N</v>
      </c>
      <c r="E65" s="3" t="str">
        <v>N</v>
      </c>
      <c r="F65" s="3" t="str">
        <v>N</v>
      </c>
      <c r="G65" s="3">
        <v>4685</v>
      </c>
      <c r="H65" s="3" t="str">
        <v>N</v>
      </c>
      <c r="I65" s="3" t="str">
        <v>N</v>
      </c>
      <c r="J65" s="3" t="str">
        <v>N</v>
      </c>
      <c r="K65" s="3" t="str">
        <v>N</v>
      </c>
      <c r="L65" s="3" t="str">
        <v>N</v>
      </c>
      <c r="M65" s="3" t="str">
        <v>N</v>
      </c>
      <c r="N65" s="3" t="str">
        <v>N</v>
      </c>
      <c r="O65" s="3" cm="1">
        <f t="array" ref="O65:O68">TRANSPOSE(P64:S64)</f>
        <v>1827</v>
      </c>
      <c r="P65" t="s">
        <v>35</v>
      </c>
      <c r="Q65">
        <v>4732</v>
      </c>
      <c r="R65" t="s">
        <v>36</v>
      </c>
      <c r="S65" t="s">
        <v>36</v>
      </c>
    </row>
    <row r="66" spans="1:19" x14ac:dyDescent="0.35">
      <c r="A66" t="str">
        <v>MON</v>
      </c>
      <c r="B66" s="3" t="str">
        <v>N</v>
      </c>
      <c r="C66" s="3" t="str">
        <v>N</v>
      </c>
      <c r="D66" s="3" t="str">
        <v>N</v>
      </c>
      <c r="E66" s="3" t="str">
        <v>N</v>
      </c>
      <c r="F66" s="3" t="str">
        <v>N</v>
      </c>
      <c r="G66" s="3">
        <v>1869</v>
      </c>
      <c r="H66" s="3" t="str">
        <v>N</v>
      </c>
      <c r="I66" s="3" t="str">
        <v>N</v>
      </c>
      <c r="J66" s="3" t="str">
        <v>N</v>
      </c>
      <c r="K66" s="3" t="str">
        <v>N</v>
      </c>
      <c r="L66" s="3" t="str">
        <v>N</v>
      </c>
      <c r="M66" s="3" t="str">
        <v>N</v>
      </c>
      <c r="N66" s="3" t="str">
        <v>N</v>
      </c>
      <c r="O66" s="3">
        <v>4575</v>
      </c>
      <c r="P66" s="3" cm="1">
        <f t="array" ref="P66:P68">TRANSPOSE(Q65:S65)</f>
        <v>4732</v>
      </c>
      <c r="Q66" t="s">
        <v>35</v>
      </c>
      <c r="R66" t="s">
        <v>36</v>
      </c>
      <c r="S66" t="s">
        <v>36</v>
      </c>
    </row>
    <row r="67" spans="1:19" x14ac:dyDescent="0.35">
      <c r="A67" t="str">
        <v>SYD</v>
      </c>
      <c r="B67" s="3" t="str">
        <v>N</v>
      </c>
      <c r="C67" s="3" t="str">
        <v>N</v>
      </c>
      <c r="D67" s="3" t="str">
        <v>N</v>
      </c>
      <c r="E67" s="3" t="str">
        <v>N</v>
      </c>
      <c r="F67" s="3" t="str">
        <v>N</v>
      </c>
      <c r="G67" s="3" t="str">
        <v>N</v>
      </c>
      <c r="H67" s="3" t="str">
        <v>N</v>
      </c>
      <c r="I67" s="3" t="str">
        <v>N</v>
      </c>
      <c r="J67" s="3" t="str">
        <v>N</v>
      </c>
      <c r="K67" s="3" t="str">
        <v>N</v>
      </c>
      <c r="L67" s="3" t="str">
        <v>N</v>
      </c>
      <c r="M67" s="3" t="str">
        <v>N</v>
      </c>
      <c r="N67" s="3" t="str">
        <v>N</v>
      </c>
      <c r="O67" s="3" t="str">
        <v>N</v>
      </c>
      <c r="P67" s="3" t="str">
        <v>N</v>
      </c>
      <c r="Q67" s="3" t="str" cm="1">
        <f t="array" ref="Q67:Q68">TRANSPOSE(R66:S66)</f>
        <v>N</v>
      </c>
      <c r="R67" t="s">
        <v>35</v>
      </c>
      <c r="S67" t="s">
        <v>36</v>
      </c>
    </row>
    <row r="68" spans="1:19" x14ac:dyDescent="0.35">
      <c r="A68" t="str">
        <v>DBI</v>
      </c>
      <c r="B68" s="3" t="str">
        <v>N</v>
      </c>
      <c r="C68" s="3" t="str">
        <v>N</v>
      </c>
      <c r="D68" s="3" t="str">
        <v>N</v>
      </c>
      <c r="E68" s="3" t="str">
        <v>N</v>
      </c>
      <c r="F68" s="3" t="str">
        <v>N</v>
      </c>
      <c r="G68" s="3" t="str">
        <v>N</v>
      </c>
      <c r="H68" s="3" t="str">
        <v>N</v>
      </c>
      <c r="I68" s="3" t="str">
        <v>N</v>
      </c>
      <c r="J68" s="3" t="str">
        <v>N</v>
      </c>
      <c r="K68" s="3" t="str">
        <v>N</v>
      </c>
      <c r="L68" s="3" t="str">
        <v>N</v>
      </c>
      <c r="M68" s="3" t="str">
        <v>N</v>
      </c>
      <c r="N68" s="3" t="str">
        <v>N</v>
      </c>
      <c r="O68" s="3" t="str">
        <v>N</v>
      </c>
      <c r="P68" s="3" t="str">
        <v>N</v>
      </c>
      <c r="Q68" s="3" t="str">
        <v>N</v>
      </c>
      <c r="R68" s="3" t="str" cm="1">
        <f t="array" ref="R68">TRANSPOSE(S67)</f>
        <v>N</v>
      </c>
      <c r="S68" t="s">
        <v>35</v>
      </c>
    </row>
  </sheetData>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73552D-4BEE-4BD7-8605-49288A459F5D}">
  <sheetPr codeName="Sheet7">
    <tabColor rgb="FF92D050"/>
  </sheetPr>
  <dimension ref="A2:P123"/>
  <sheetViews>
    <sheetView zoomScale="85" zoomScaleNormal="85" workbookViewId="0">
      <selection activeCell="K2" sqref="K2"/>
    </sheetView>
  </sheetViews>
  <sheetFormatPr defaultColWidth="8.81640625" defaultRowHeight="14" x14ac:dyDescent="0.3"/>
  <cols>
    <col min="1" max="1" width="12.453125" style="2" bestFit="1" customWidth="1"/>
    <col min="2" max="2" width="10.08984375" style="2" bestFit="1" customWidth="1"/>
    <col min="3" max="3" width="12.1796875" style="2" customWidth="1"/>
    <col min="4" max="4" width="10.08984375" style="2" bestFit="1" customWidth="1"/>
    <col min="5" max="5" width="16.90625" style="2" bestFit="1" customWidth="1"/>
    <col min="6" max="6" width="13.36328125" style="2" customWidth="1"/>
    <col min="7" max="7" width="23.1796875" style="2" customWidth="1"/>
    <col min="8" max="8" width="22.08984375" style="2" customWidth="1"/>
    <col min="9" max="9" width="19.54296875" style="2" bestFit="1" customWidth="1"/>
    <col min="10" max="10" width="14" style="2" bestFit="1" customWidth="1"/>
    <col min="11" max="12" width="8.90625" style="2" bestFit="1" customWidth="1"/>
    <col min="13" max="13" width="10" style="2" customWidth="1"/>
    <col min="14" max="16384" width="8.81640625" style="2"/>
  </cols>
  <sheetData>
    <row r="2" spans="1:12" x14ac:dyDescent="0.3">
      <c r="A2" s="2" t="s">
        <v>79</v>
      </c>
      <c r="B2" s="2" t="s">
        <v>1</v>
      </c>
      <c r="C2" s="2" t="s">
        <v>2</v>
      </c>
      <c r="D2" s="2" t="s">
        <v>46</v>
      </c>
      <c r="E2" s="2" t="s">
        <v>3</v>
      </c>
      <c r="F2" s="2" t="s">
        <v>40</v>
      </c>
      <c r="G2" s="2" t="s">
        <v>61</v>
      </c>
      <c r="H2" s="2" t="s">
        <v>63</v>
      </c>
      <c r="I2" s="2" t="s">
        <v>51</v>
      </c>
      <c r="J2" s="2" t="s">
        <v>64</v>
      </c>
      <c r="K2" s="2" t="s">
        <v>62</v>
      </c>
      <c r="L2" s="2" t="s">
        <v>52</v>
      </c>
    </row>
    <row r="3" spans="1:12" x14ac:dyDescent="0.3">
      <c r="A3" s="18">
        <v>224</v>
      </c>
      <c r="B3" s="18" t="s">
        <v>59</v>
      </c>
      <c r="C3" s="18" t="str">
        <f>T3Data!B2</f>
        <v>MUN</v>
      </c>
      <c r="D3" s="18" t="s">
        <v>59</v>
      </c>
      <c r="E3" s="32">
        <f>T3Data!J2</f>
        <v>27554200</v>
      </c>
      <c r="F3" s="33">
        <f>T3Data!L2</f>
        <v>330000</v>
      </c>
      <c r="G3" s="2">
        <v>0</v>
      </c>
      <c r="H3" s="2">
        <v>999</v>
      </c>
      <c r="I3" s="2" cm="1">
        <f t="array" ref="I3:I10">T3Data!M2:M9</f>
        <v>1</v>
      </c>
      <c r="J3" s="2">
        <f t="shared" ref="J3:J10" si="0">G3*H3</f>
        <v>0</v>
      </c>
      <c r="K3" s="2">
        <f t="shared" ref="K3:K10" si="1">G3*I3</f>
        <v>0</v>
      </c>
      <c r="L3" s="2" cm="1">
        <f t="array" ref="L3:L10">T3Data!N2:N9</f>
        <v>210</v>
      </c>
    </row>
    <row r="4" spans="1:12" hidden="1" x14ac:dyDescent="0.3">
      <c r="A4" s="2">
        <v>0</v>
      </c>
      <c r="B4" s="2" t="s">
        <v>59</v>
      </c>
      <c r="C4" s="2" t="str">
        <f>T3Data!B3</f>
        <v>CHE</v>
      </c>
      <c r="D4" s="2" t="s">
        <v>59</v>
      </c>
      <c r="E4" s="29">
        <f>T3Data!J3</f>
        <v>25048600</v>
      </c>
      <c r="F4" s="30">
        <f>T3Data!L3</f>
        <v>330000</v>
      </c>
      <c r="G4" s="2">
        <v>0</v>
      </c>
      <c r="H4" s="2">
        <v>999</v>
      </c>
      <c r="I4" s="2">
        <v>5</v>
      </c>
      <c r="J4" s="2">
        <f t="shared" si="0"/>
        <v>0</v>
      </c>
      <c r="K4" s="2">
        <f t="shared" si="1"/>
        <v>0</v>
      </c>
      <c r="L4" s="2">
        <v>10</v>
      </c>
    </row>
    <row r="5" spans="1:12" hidden="1" x14ac:dyDescent="0.3">
      <c r="A5" s="2">
        <v>0</v>
      </c>
      <c r="B5" s="2" t="s">
        <v>59</v>
      </c>
      <c r="C5" s="2" t="str">
        <f>T3Data!B4</f>
        <v>BKK</v>
      </c>
      <c r="D5" s="2" t="s">
        <v>59</v>
      </c>
      <c r="E5" s="29">
        <f>T3Data!J4</f>
        <v>25232200</v>
      </c>
      <c r="F5" s="30">
        <f>T3Data!L4</f>
        <v>330000</v>
      </c>
      <c r="G5" s="2">
        <v>0</v>
      </c>
      <c r="H5" s="2">
        <v>999</v>
      </c>
      <c r="I5" s="2">
        <v>5</v>
      </c>
      <c r="J5" s="2">
        <f t="shared" si="0"/>
        <v>0</v>
      </c>
      <c r="K5" s="2">
        <f t="shared" si="1"/>
        <v>0</v>
      </c>
      <c r="L5" s="2">
        <v>10</v>
      </c>
    </row>
    <row r="6" spans="1:12" x14ac:dyDescent="0.3">
      <c r="A6" s="18">
        <v>171</v>
      </c>
      <c r="B6" s="18" t="s">
        <v>59</v>
      </c>
      <c r="C6" s="18" t="str">
        <f>T3Data!B5</f>
        <v>DAL</v>
      </c>
      <c r="D6" s="18" t="s">
        <v>59</v>
      </c>
      <c r="E6" s="32">
        <f>T3Data!J5</f>
        <v>25228600</v>
      </c>
      <c r="F6" s="33">
        <f>T3Data!L5</f>
        <v>330000</v>
      </c>
      <c r="G6" s="2">
        <v>0</v>
      </c>
      <c r="H6" s="2">
        <v>999</v>
      </c>
      <c r="I6" s="2">
        <v>5</v>
      </c>
      <c r="J6" s="2">
        <f t="shared" si="0"/>
        <v>0</v>
      </c>
      <c r="K6" s="2">
        <f t="shared" si="1"/>
        <v>0</v>
      </c>
      <c r="L6" s="2">
        <v>230</v>
      </c>
    </row>
    <row r="7" spans="1:12" x14ac:dyDescent="0.3">
      <c r="A7" s="18">
        <v>70</v>
      </c>
      <c r="B7" s="18" t="s">
        <v>59</v>
      </c>
      <c r="C7" s="18" t="str">
        <f>T3Data!B6</f>
        <v>TAM</v>
      </c>
      <c r="D7" s="18" t="s">
        <v>59</v>
      </c>
      <c r="E7" s="32">
        <f>T3Data!J6</f>
        <v>25223200</v>
      </c>
      <c r="F7" s="33">
        <f>T3Data!L6</f>
        <v>330000</v>
      </c>
      <c r="G7" s="2">
        <v>0</v>
      </c>
      <c r="H7" s="2">
        <v>999</v>
      </c>
      <c r="I7" s="2">
        <v>5</v>
      </c>
      <c r="J7" s="2">
        <f t="shared" si="0"/>
        <v>0</v>
      </c>
      <c r="K7" s="2">
        <f t="shared" si="1"/>
        <v>0</v>
      </c>
      <c r="L7" s="2">
        <v>70</v>
      </c>
    </row>
    <row r="8" spans="1:12" x14ac:dyDescent="0.3">
      <c r="A8" s="18">
        <v>21</v>
      </c>
      <c r="B8" s="18" t="s">
        <v>59</v>
      </c>
      <c r="C8" s="18" t="str">
        <f>T3Data!B7</f>
        <v>SAV</v>
      </c>
      <c r="D8" s="18" t="s">
        <v>59</v>
      </c>
      <c r="E8" s="32">
        <f>T3Data!J7</f>
        <v>26305000</v>
      </c>
      <c r="F8" s="33">
        <f>T3Data!L7</f>
        <v>330000</v>
      </c>
      <c r="G8" s="2">
        <v>0</v>
      </c>
      <c r="H8" s="2">
        <v>999</v>
      </c>
      <c r="I8" s="2">
        <v>5</v>
      </c>
      <c r="J8" s="2">
        <f t="shared" si="0"/>
        <v>0</v>
      </c>
      <c r="K8" s="2">
        <f t="shared" si="1"/>
        <v>0</v>
      </c>
      <c r="L8" s="2">
        <v>145</v>
      </c>
    </row>
    <row r="9" spans="1:12" hidden="1" x14ac:dyDescent="0.3">
      <c r="A9" s="2">
        <v>0</v>
      </c>
      <c r="B9" s="2" t="s">
        <v>59</v>
      </c>
      <c r="C9" s="2" t="str">
        <f>T3Data!B8</f>
        <v>ARA</v>
      </c>
      <c r="D9" s="2" t="s">
        <v>59</v>
      </c>
      <c r="E9" s="29">
        <f>T3Data!J8</f>
        <v>25230400</v>
      </c>
      <c r="F9" s="30">
        <f>T3Data!L8</f>
        <v>330000</v>
      </c>
      <c r="G9" s="2">
        <v>0</v>
      </c>
      <c r="H9" s="2">
        <v>999</v>
      </c>
      <c r="I9" s="2">
        <v>5</v>
      </c>
      <c r="J9" s="2">
        <f t="shared" si="0"/>
        <v>0</v>
      </c>
      <c r="K9" s="2">
        <f t="shared" si="1"/>
        <v>0</v>
      </c>
      <c r="L9" s="2">
        <v>10</v>
      </c>
    </row>
    <row r="10" spans="1:12" x14ac:dyDescent="0.3">
      <c r="A10" s="18">
        <v>20</v>
      </c>
      <c r="B10" s="18" t="s">
        <v>59</v>
      </c>
      <c r="C10" s="18" t="str">
        <f>T3Data!B9</f>
        <v>DUR</v>
      </c>
      <c r="D10" s="18" t="s">
        <v>59</v>
      </c>
      <c r="E10" s="32">
        <f>T3Data!J9</f>
        <v>25282600</v>
      </c>
      <c r="F10" s="33">
        <f>T3Data!L9</f>
        <v>330000</v>
      </c>
      <c r="G10" s="2">
        <v>0</v>
      </c>
      <c r="H10" s="2">
        <v>999</v>
      </c>
      <c r="I10" s="2">
        <v>5</v>
      </c>
      <c r="J10" s="2">
        <f t="shared" si="0"/>
        <v>0</v>
      </c>
      <c r="K10" s="2">
        <f t="shared" si="1"/>
        <v>0</v>
      </c>
      <c r="L10" s="2">
        <v>20</v>
      </c>
    </row>
    <row r="11" spans="1:12" hidden="1" x14ac:dyDescent="0.3">
      <c r="A11" s="2">
        <v>0</v>
      </c>
      <c r="B11" s="2" t="s">
        <v>14</v>
      </c>
      <c r="C11" s="2" t="s">
        <v>47</v>
      </c>
      <c r="D11" s="2" t="s">
        <v>42</v>
      </c>
      <c r="E11" s="29">
        <v>255229.08364800003</v>
      </c>
      <c r="F11" s="30">
        <v>2154155.1360000004</v>
      </c>
    </row>
    <row r="12" spans="1:12" hidden="1" x14ac:dyDescent="0.3">
      <c r="A12" s="2">
        <v>0</v>
      </c>
      <c r="B12" s="2" t="s">
        <v>14</v>
      </c>
      <c r="C12" s="2" t="s">
        <v>25</v>
      </c>
      <c r="D12" s="2" t="s">
        <v>42</v>
      </c>
      <c r="E12" s="29">
        <v>285973.99142400001</v>
      </c>
      <c r="F12" s="30">
        <v>2413644.7680000002</v>
      </c>
    </row>
    <row r="13" spans="1:12" hidden="1" x14ac:dyDescent="0.3">
      <c r="A13" s="2">
        <v>0</v>
      </c>
      <c r="B13" s="2" t="s">
        <v>14</v>
      </c>
      <c r="C13" s="2" t="s">
        <v>19</v>
      </c>
      <c r="D13" s="2" t="s">
        <v>42</v>
      </c>
      <c r="E13" s="29">
        <v>263005.43385600002</v>
      </c>
      <c r="F13" s="30">
        <v>2219788.1920000003</v>
      </c>
    </row>
    <row r="14" spans="1:12" hidden="1" x14ac:dyDescent="0.3">
      <c r="A14" s="2">
        <v>0</v>
      </c>
      <c r="B14" s="2" t="s">
        <v>14</v>
      </c>
      <c r="C14" s="2" t="s">
        <v>18</v>
      </c>
      <c r="D14" s="2" t="s">
        <v>42</v>
      </c>
      <c r="E14" s="29">
        <v>334022.56588800001</v>
      </c>
      <c r="F14" s="30">
        <v>2819178.8160000006</v>
      </c>
    </row>
    <row r="15" spans="1:12" hidden="1" x14ac:dyDescent="0.3">
      <c r="A15" s="2">
        <v>0</v>
      </c>
      <c r="B15" s="2" t="s">
        <v>17</v>
      </c>
      <c r="C15" s="2" t="s">
        <v>15</v>
      </c>
      <c r="D15" s="2" t="s">
        <v>42</v>
      </c>
      <c r="E15" s="29">
        <v>133176.43468800001</v>
      </c>
      <c r="F15" s="30">
        <v>1124020.4160000002</v>
      </c>
    </row>
    <row r="16" spans="1:12" x14ac:dyDescent="0.3">
      <c r="A16" s="2">
        <v>26</v>
      </c>
      <c r="B16" s="2" t="s">
        <v>17</v>
      </c>
      <c r="C16" s="2" t="s">
        <v>27</v>
      </c>
      <c r="D16" s="2" t="s">
        <v>42</v>
      </c>
      <c r="E16" s="29">
        <v>70579.390464000011</v>
      </c>
      <c r="F16" s="30">
        <v>595696.04800000007</v>
      </c>
    </row>
    <row r="17" spans="1:6" hidden="1" x14ac:dyDescent="0.3">
      <c r="A17" s="2">
        <v>0</v>
      </c>
      <c r="B17" s="2" t="s">
        <v>17</v>
      </c>
      <c r="C17" s="2" t="s">
        <v>32</v>
      </c>
      <c r="D17" s="2" t="s">
        <v>42</v>
      </c>
      <c r="E17" s="29">
        <v>383950.85414400004</v>
      </c>
      <c r="F17" s="30">
        <v>3240577.8080000007</v>
      </c>
    </row>
    <row r="18" spans="1:6" hidden="1" x14ac:dyDescent="0.3">
      <c r="A18" s="2">
        <v>0</v>
      </c>
      <c r="B18" s="2" t="s">
        <v>17</v>
      </c>
      <c r="C18" s="2" t="s">
        <v>31</v>
      </c>
      <c r="D18" s="2" t="s">
        <v>42</v>
      </c>
      <c r="E18" s="29">
        <v>259606.49932800001</v>
      </c>
      <c r="F18" s="30">
        <v>2191100.8960000002</v>
      </c>
    </row>
    <row r="19" spans="1:6" hidden="1" x14ac:dyDescent="0.3">
      <c r="A19" s="2">
        <v>0</v>
      </c>
      <c r="B19" s="2" t="s">
        <v>28</v>
      </c>
      <c r="C19" s="2" t="s">
        <v>39</v>
      </c>
      <c r="D19" s="2" t="s">
        <v>42</v>
      </c>
      <c r="E19" s="29">
        <v>27011.229696000002</v>
      </c>
      <c r="F19" s="30">
        <v>227977.07200000004</v>
      </c>
    </row>
    <row r="20" spans="1:6" hidden="1" x14ac:dyDescent="0.3">
      <c r="A20" s="2">
        <v>0</v>
      </c>
      <c r="B20" s="2" t="s">
        <v>28</v>
      </c>
      <c r="C20" s="2" t="s">
        <v>27</v>
      </c>
      <c r="D20" s="2" t="s">
        <v>42</v>
      </c>
      <c r="E20" s="29">
        <v>57138.149376000001</v>
      </c>
      <c r="F20" s="30">
        <v>482250.83200000005</v>
      </c>
    </row>
    <row r="21" spans="1:6" hidden="1" x14ac:dyDescent="0.3">
      <c r="A21" s="2">
        <v>0</v>
      </c>
      <c r="B21" s="2" t="s">
        <v>28</v>
      </c>
      <c r="C21" s="2" t="s">
        <v>32</v>
      </c>
      <c r="D21" s="2" t="s">
        <v>42</v>
      </c>
      <c r="E21" s="29">
        <v>263597.672448</v>
      </c>
      <c r="F21" s="30">
        <v>2224786.7360000005</v>
      </c>
    </row>
    <row r="22" spans="1:6" hidden="1" x14ac:dyDescent="0.3">
      <c r="A22" s="2">
        <v>0</v>
      </c>
      <c r="B22" s="2" t="s">
        <v>28</v>
      </c>
      <c r="C22" s="2" t="s">
        <v>29</v>
      </c>
      <c r="D22" s="2" t="s">
        <v>42</v>
      </c>
      <c r="E22" s="29">
        <v>238543.40505600002</v>
      </c>
      <c r="F22" s="30">
        <v>2013326.5920000002</v>
      </c>
    </row>
    <row r="23" spans="1:6" x14ac:dyDescent="0.3">
      <c r="A23" s="2">
        <v>35</v>
      </c>
      <c r="B23" s="2" t="s">
        <v>15</v>
      </c>
      <c r="C23" s="2" t="s">
        <v>17</v>
      </c>
      <c r="D23" s="2" t="s">
        <v>42</v>
      </c>
      <c r="E23" s="29">
        <v>133176.43468800001</v>
      </c>
      <c r="F23" s="30">
        <v>1124020.4160000002</v>
      </c>
    </row>
    <row r="24" spans="1:6" hidden="1" x14ac:dyDescent="0.3">
      <c r="A24" s="2">
        <v>0</v>
      </c>
      <c r="B24" s="2" t="s">
        <v>15</v>
      </c>
      <c r="C24" s="2" t="s">
        <v>45</v>
      </c>
      <c r="D24" s="2" t="s">
        <v>42</v>
      </c>
      <c r="E24" s="29">
        <v>106783.193088</v>
      </c>
      <c r="F24" s="30">
        <v>901259.21600000013</v>
      </c>
    </row>
    <row r="25" spans="1:6" hidden="1" x14ac:dyDescent="0.3">
      <c r="A25" s="2">
        <v>0</v>
      </c>
      <c r="B25" s="2" t="s">
        <v>15</v>
      </c>
      <c r="C25" s="2" t="s">
        <v>44</v>
      </c>
      <c r="D25" s="2" t="s">
        <v>42</v>
      </c>
      <c r="E25" s="29">
        <v>222243.96902400002</v>
      </c>
      <c r="F25" s="30">
        <v>1875757.9680000003</v>
      </c>
    </row>
    <row r="26" spans="1:6" hidden="1" x14ac:dyDescent="0.3">
      <c r="A26" s="2">
        <v>0</v>
      </c>
      <c r="B26" s="2" t="s">
        <v>15</v>
      </c>
      <c r="C26" s="2" t="s">
        <v>47</v>
      </c>
      <c r="D26" s="2" t="s">
        <v>42</v>
      </c>
      <c r="E26" s="29">
        <v>271013.52960000001</v>
      </c>
      <c r="F26" s="30">
        <v>2287377.2000000002</v>
      </c>
    </row>
    <row r="27" spans="1:6" hidden="1" x14ac:dyDescent="0.3">
      <c r="A27" s="2">
        <v>0</v>
      </c>
      <c r="B27" s="2" t="s">
        <v>15</v>
      </c>
      <c r="C27" s="2" t="s">
        <v>31</v>
      </c>
      <c r="D27" s="2" t="s">
        <v>42</v>
      </c>
      <c r="E27" s="29">
        <v>274644.20966400002</v>
      </c>
      <c r="F27" s="30">
        <v>2318020.4480000003</v>
      </c>
    </row>
    <row r="28" spans="1:6" hidden="1" x14ac:dyDescent="0.3">
      <c r="A28" s="2">
        <v>0</v>
      </c>
      <c r="B28" s="2" t="s">
        <v>39</v>
      </c>
      <c r="C28" s="2" t="s">
        <v>28</v>
      </c>
      <c r="D28" s="2" t="s">
        <v>42</v>
      </c>
      <c r="E28" s="29">
        <v>27011.229696000002</v>
      </c>
      <c r="F28" s="30">
        <v>227977.07200000004</v>
      </c>
    </row>
    <row r="29" spans="1:6" hidden="1" x14ac:dyDescent="0.3">
      <c r="A29" s="2">
        <v>0</v>
      </c>
      <c r="B29" s="2" t="s">
        <v>39</v>
      </c>
      <c r="C29" s="2" t="s">
        <v>27</v>
      </c>
      <c r="D29" s="2" t="s">
        <v>41</v>
      </c>
      <c r="E29" s="29">
        <v>305698.11148800002</v>
      </c>
      <c r="F29" s="30">
        <v>74081.279999999999</v>
      </c>
    </row>
    <row r="30" spans="1:6" x14ac:dyDescent="0.3">
      <c r="A30" s="2">
        <v>85</v>
      </c>
      <c r="B30" s="2" t="s">
        <v>39</v>
      </c>
      <c r="C30" s="2" t="s">
        <v>27</v>
      </c>
      <c r="D30" s="2" t="s">
        <v>42</v>
      </c>
      <c r="E30" s="29">
        <v>80518.699008000011</v>
      </c>
      <c r="F30" s="30">
        <v>679584.65600000008</v>
      </c>
    </row>
    <row r="31" spans="1:6" hidden="1" x14ac:dyDescent="0.3">
      <c r="A31" s="2">
        <v>0</v>
      </c>
      <c r="B31" s="2" t="s">
        <v>39</v>
      </c>
      <c r="C31" s="2" t="s">
        <v>26</v>
      </c>
      <c r="D31" s="2" t="s">
        <v>41</v>
      </c>
      <c r="E31" s="29">
        <v>844068.74112000002</v>
      </c>
      <c r="F31" s="30">
        <v>204547.20000000001</v>
      </c>
    </row>
    <row r="32" spans="1:6" hidden="1" x14ac:dyDescent="0.3">
      <c r="A32" s="2">
        <v>0</v>
      </c>
      <c r="B32" s="2" t="s">
        <v>39</v>
      </c>
      <c r="C32" s="2" t="s">
        <v>31</v>
      </c>
      <c r="D32" s="2" t="s">
        <v>42</v>
      </c>
      <c r="E32" s="29">
        <v>269571.55737600004</v>
      </c>
      <c r="F32" s="30">
        <v>2275206.8320000004</v>
      </c>
    </row>
    <row r="33" spans="1:6" hidden="1" x14ac:dyDescent="0.3">
      <c r="A33" s="2">
        <v>0</v>
      </c>
      <c r="B33" s="2" t="s">
        <v>45</v>
      </c>
      <c r="C33" s="2" t="s">
        <v>15</v>
      </c>
      <c r="D33" s="2" t="s">
        <v>42</v>
      </c>
      <c r="E33" s="29">
        <v>106783.193088</v>
      </c>
      <c r="F33" s="30">
        <v>901259.21600000013</v>
      </c>
    </row>
    <row r="34" spans="1:6" hidden="1" x14ac:dyDescent="0.3">
      <c r="A34" s="2">
        <v>0</v>
      </c>
      <c r="B34" s="2" t="s">
        <v>45</v>
      </c>
      <c r="C34" s="2" t="s">
        <v>44</v>
      </c>
      <c r="D34" s="2" t="s">
        <v>42</v>
      </c>
      <c r="E34" s="29">
        <v>194254.258176</v>
      </c>
      <c r="F34" s="30">
        <v>1639522.4320000003</v>
      </c>
    </row>
    <row r="35" spans="1:6" hidden="1" x14ac:dyDescent="0.3">
      <c r="A35" s="2">
        <v>0</v>
      </c>
      <c r="B35" s="2" t="s">
        <v>45</v>
      </c>
      <c r="C35" s="2" t="s">
        <v>47</v>
      </c>
      <c r="D35" s="2" t="s">
        <v>42</v>
      </c>
      <c r="E35" s="29">
        <v>211892.668416</v>
      </c>
      <c r="F35" s="30">
        <v>1788392.1120000002</v>
      </c>
    </row>
    <row r="36" spans="1:6" x14ac:dyDescent="0.3">
      <c r="A36" s="2">
        <v>15</v>
      </c>
      <c r="B36" s="2" t="s">
        <v>44</v>
      </c>
      <c r="C36" s="2" t="s">
        <v>15</v>
      </c>
      <c r="D36" s="2" t="s">
        <v>42</v>
      </c>
      <c r="E36" s="29">
        <v>222243.96902400002</v>
      </c>
      <c r="F36" s="30">
        <v>1875757.9680000003</v>
      </c>
    </row>
    <row r="37" spans="1:6" hidden="1" x14ac:dyDescent="0.3">
      <c r="A37" s="2">
        <v>0</v>
      </c>
      <c r="B37" s="2" t="s">
        <v>44</v>
      </c>
      <c r="C37" s="2" t="s">
        <v>45</v>
      </c>
      <c r="D37" s="2" t="s">
        <v>42</v>
      </c>
      <c r="E37" s="29">
        <v>194254.258176</v>
      </c>
      <c r="F37" s="30">
        <v>1639522.4320000003</v>
      </c>
    </row>
    <row r="38" spans="1:6" hidden="1" x14ac:dyDescent="0.3">
      <c r="A38" s="2">
        <v>0</v>
      </c>
      <c r="B38" s="2" t="s">
        <v>44</v>
      </c>
      <c r="C38" s="2" t="s">
        <v>47</v>
      </c>
      <c r="D38" s="2" t="s">
        <v>42</v>
      </c>
      <c r="E38" s="29">
        <v>349549.51680000004</v>
      </c>
      <c r="F38" s="30">
        <v>2950227.6000000006</v>
      </c>
    </row>
    <row r="39" spans="1:6" x14ac:dyDescent="0.3">
      <c r="A39" s="2">
        <v>4</v>
      </c>
      <c r="B39" s="2" t="s">
        <v>44</v>
      </c>
      <c r="C39" s="2" t="s">
        <v>31</v>
      </c>
      <c r="D39" s="2" t="s">
        <v>42</v>
      </c>
      <c r="E39" s="29">
        <v>359334.32832000003</v>
      </c>
      <c r="F39" s="30">
        <v>3032812.24</v>
      </c>
    </row>
    <row r="40" spans="1:6" hidden="1" x14ac:dyDescent="0.3">
      <c r="A40" s="2">
        <v>0</v>
      </c>
      <c r="B40" s="2" t="s">
        <v>47</v>
      </c>
      <c r="C40" s="2" t="s">
        <v>14</v>
      </c>
      <c r="D40" s="2" t="s">
        <v>42</v>
      </c>
      <c r="E40" s="29">
        <v>255229.08364800003</v>
      </c>
      <c r="F40" s="30">
        <v>2154155.1360000004</v>
      </c>
    </row>
    <row r="41" spans="1:6" x14ac:dyDescent="0.3">
      <c r="A41" s="2">
        <v>29</v>
      </c>
      <c r="B41" s="2" t="s">
        <v>47</v>
      </c>
      <c r="C41" s="2" t="s">
        <v>15</v>
      </c>
      <c r="D41" s="2" t="s">
        <v>42</v>
      </c>
      <c r="E41" s="29">
        <v>271013.52960000001</v>
      </c>
      <c r="F41" s="30">
        <v>2287377.2000000002</v>
      </c>
    </row>
    <row r="42" spans="1:6" x14ac:dyDescent="0.3">
      <c r="A42" s="2">
        <v>5</v>
      </c>
      <c r="B42" s="2" t="s">
        <v>47</v>
      </c>
      <c r="C42" s="2" t="s">
        <v>45</v>
      </c>
      <c r="D42" s="2" t="s">
        <v>42</v>
      </c>
      <c r="E42" s="29">
        <v>211892.668416</v>
      </c>
      <c r="F42" s="30">
        <v>1788392.1120000002</v>
      </c>
    </row>
    <row r="43" spans="1:6" hidden="1" x14ac:dyDescent="0.3">
      <c r="A43" s="2">
        <v>0</v>
      </c>
      <c r="B43" s="2" t="s">
        <v>47</v>
      </c>
      <c r="C43" s="2" t="s">
        <v>44</v>
      </c>
      <c r="D43" s="2" t="s">
        <v>42</v>
      </c>
      <c r="E43" s="29">
        <v>349549.51680000004</v>
      </c>
      <c r="F43" s="30">
        <v>2950227.6000000006</v>
      </c>
    </row>
    <row r="44" spans="1:6" hidden="1" x14ac:dyDescent="0.3">
      <c r="A44" s="2">
        <v>0</v>
      </c>
      <c r="B44" s="2" t="s">
        <v>47</v>
      </c>
      <c r="C44" s="2" t="s">
        <v>25</v>
      </c>
      <c r="D44" s="2" t="s">
        <v>41</v>
      </c>
      <c r="E44" s="29">
        <v>106396.950528</v>
      </c>
      <c r="F44" s="30">
        <v>25783.68</v>
      </c>
    </row>
    <row r="45" spans="1:6" hidden="1" x14ac:dyDescent="0.3">
      <c r="A45" s="2">
        <v>0</v>
      </c>
      <c r="B45" s="2" t="s">
        <v>47</v>
      </c>
      <c r="C45" s="2" t="s">
        <v>25</v>
      </c>
      <c r="D45" s="2" t="s">
        <v>42</v>
      </c>
      <c r="E45" s="29">
        <v>108637.157376</v>
      </c>
      <c r="F45" s="30">
        <v>916906.83200000017</v>
      </c>
    </row>
    <row r="46" spans="1:6" hidden="1" x14ac:dyDescent="0.3">
      <c r="A46" s="2">
        <v>0</v>
      </c>
      <c r="B46" s="2" t="s">
        <v>47</v>
      </c>
      <c r="C46" s="2" t="s">
        <v>16</v>
      </c>
      <c r="D46" s="2" t="s">
        <v>41</v>
      </c>
      <c r="E46" s="29">
        <v>47482.085376000003</v>
      </c>
      <c r="F46" s="30">
        <v>11506.56</v>
      </c>
    </row>
    <row r="47" spans="1:6" hidden="1" x14ac:dyDescent="0.3">
      <c r="A47" s="2">
        <v>0</v>
      </c>
      <c r="B47" s="2" t="s">
        <v>47</v>
      </c>
      <c r="C47" s="2" t="s">
        <v>18</v>
      </c>
      <c r="D47" s="2" t="s">
        <v>42</v>
      </c>
      <c r="E47" s="29">
        <v>286308.73497600004</v>
      </c>
      <c r="F47" s="30">
        <v>2416470.0320000001</v>
      </c>
    </row>
    <row r="48" spans="1:6" hidden="1" x14ac:dyDescent="0.3">
      <c r="A48" s="2">
        <v>0</v>
      </c>
      <c r="B48" s="2" t="s">
        <v>27</v>
      </c>
      <c r="C48" s="2" t="s">
        <v>17</v>
      </c>
      <c r="D48" s="2" t="s">
        <v>42</v>
      </c>
      <c r="E48" s="29">
        <v>70579.390464000011</v>
      </c>
      <c r="F48" s="30">
        <v>595696.04800000007</v>
      </c>
    </row>
    <row r="49" spans="1:6" x14ac:dyDescent="0.3">
      <c r="A49" s="2">
        <v>26</v>
      </c>
      <c r="B49" s="2" t="s">
        <v>27</v>
      </c>
      <c r="C49" s="2" t="s">
        <v>28</v>
      </c>
      <c r="D49" s="2" t="s">
        <v>42</v>
      </c>
      <c r="E49" s="29">
        <v>57138.149376000001</v>
      </c>
      <c r="F49" s="30">
        <v>482250.83200000005</v>
      </c>
    </row>
    <row r="50" spans="1:6" hidden="1" x14ac:dyDescent="0.3">
      <c r="A50" s="2">
        <v>0</v>
      </c>
      <c r="B50" s="2" t="s">
        <v>27</v>
      </c>
      <c r="C50" s="2" t="s">
        <v>39</v>
      </c>
      <c r="D50" s="2" t="s">
        <v>41</v>
      </c>
      <c r="E50" s="29">
        <v>305698.11148800002</v>
      </c>
      <c r="F50" s="30">
        <v>74081.279999999999</v>
      </c>
    </row>
    <row r="51" spans="1:6" hidden="1" x14ac:dyDescent="0.3">
      <c r="A51" s="2">
        <v>0</v>
      </c>
      <c r="B51" s="2" t="s">
        <v>27</v>
      </c>
      <c r="C51" s="2" t="s">
        <v>39</v>
      </c>
      <c r="D51" s="2" t="s">
        <v>42</v>
      </c>
      <c r="E51" s="29">
        <v>80518.699008000011</v>
      </c>
      <c r="F51" s="30">
        <v>679584.65600000008</v>
      </c>
    </row>
    <row r="52" spans="1:6" hidden="1" x14ac:dyDescent="0.3">
      <c r="A52" s="2">
        <v>0</v>
      </c>
      <c r="B52" s="2" t="s">
        <v>27</v>
      </c>
      <c r="C52" s="2" t="s">
        <v>32</v>
      </c>
      <c r="D52" s="2" t="s">
        <v>42</v>
      </c>
      <c r="E52" s="29">
        <v>323310.77222400001</v>
      </c>
      <c r="F52" s="30">
        <v>2728770.3680000002</v>
      </c>
    </row>
    <row r="53" spans="1:6" hidden="1" x14ac:dyDescent="0.3">
      <c r="A53" s="2">
        <v>0</v>
      </c>
      <c r="B53" s="2" t="s">
        <v>32</v>
      </c>
      <c r="C53" s="2" t="s">
        <v>17</v>
      </c>
      <c r="D53" s="2" t="s">
        <v>42</v>
      </c>
      <c r="E53" s="29">
        <v>383950.85414400004</v>
      </c>
      <c r="F53" s="30">
        <v>3240577.8080000007</v>
      </c>
    </row>
    <row r="54" spans="1:6" hidden="1" x14ac:dyDescent="0.3">
      <c r="A54" s="2">
        <v>0</v>
      </c>
      <c r="B54" s="2" t="s">
        <v>32</v>
      </c>
      <c r="C54" s="2" t="s">
        <v>28</v>
      </c>
      <c r="D54" s="2" t="s">
        <v>42</v>
      </c>
      <c r="E54" s="29">
        <v>263597.672448</v>
      </c>
      <c r="F54" s="30">
        <v>2224786.7360000005</v>
      </c>
    </row>
    <row r="55" spans="1:6" hidden="1" x14ac:dyDescent="0.3">
      <c r="A55" s="2">
        <v>0</v>
      </c>
      <c r="B55" s="2" t="s">
        <v>32</v>
      </c>
      <c r="C55" s="2" t="s">
        <v>27</v>
      </c>
      <c r="D55" s="2" t="s">
        <v>42</v>
      </c>
      <c r="E55" s="29">
        <v>323310.77222400001</v>
      </c>
      <c r="F55" s="30">
        <v>2728770.3680000002</v>
      </c>
    </row>
    <row r="56" spans="1:6" hidden="1" x14ac:dyDescent="0.3">
      <c r="A56" s="2">
        <v>0</v>
      </c>
      <c r="B56" s="2" t="s">
        <v>32</v>
      </c>
      <c r="C56" s="2" t="s">
        <v>30</v>
      </c>
      <c r="D56" s="2" t="s">
        <v>41</v>
      </c>
      <c r="E56" s="29">
        <v>471215.92320000002</v>
      </c>
      <c r="F56" s="30">
        <v>114192</v>
      </c>
    </row>
    <row r="57" spans="1:6" hidden="1" x14ac:dyDescent="0.3">
      <c r="A57" s="2">
        <v>0</v>
      </c>
      <c r="B57" s="2" t="s">
        <v>32</v>
      </c>
      <c r="C57" s="2" t="s">
        <v>19</v>
      </c>
      <c r="D57" s="2" t="s">
        <v>41</v>
      </c>
      <c r="E57" s="29">
        <v>401074.27430400002</v>
      </c>
      <c r="F57" s="30">
        <v>97194.240000000005</v>
      </c>
    </row>
    <row r="58" spans="1:6" hidden="1" x14ac:dyDescent="0.3">
      <c r="A58" s="2">
        <v>0</v>
      </c>
      <c r="B58" s="2" t="s">
        <v>32</v>
      </c>
      <c r="C58" s="2" t="s">
        <v>29</v>
      </c>
      <c r="D58" s="2" t="s">
        <v>41</v>
      </c>
      <c r="E58" s="29">
        <v>188177.37523200002</v>
      </c>
      <c r="F58" s="30">
        <v>45601.919999999998</v>
      </c>
    </row>
    <row r="59" spans="1:6" hidden="1" x14ac:dyDescent="0.3">
      <c r="A59" s="2">
        <v>0</v>
      </c>
      <c r="B59" s="2" t="s">
        <v>32</v>
      </c>
      <c r="C59" s="2" t="s">
        <v>29</v>
      </c>
      <c r="D59" s="2" t="s">
        <v>42</v>
      </c>
      <c r="E59" s="29">
        <v>59610.101760000005</v>
      </c>
      <c r="F59" s="30">
        <v>503114.32000000007</v>
      </c>
    </row>
    <row r="60" spans="1:6" hidden="1" x14ac:dyDescent="0.3">
      <c r="A60" s="2">
        <v>0</v>
      </c>
      <c r="B60" s="2" t="s">
        <v>32</v>
      </c>
      <c r="C60" s="2" t="s">
        <v>31</v>
      </c>
      <c r="D60" s="2" t="s">
        <v>42</v>
      </c>
      <c r="E60" s="29">
        <v>341953.41312000004</v>
      </c>
      <c r="F60" s="30">
        <v>2886115.8400000003</v>
      </c>
    </row>
    <row r="61" spans="1:6" hidden="1" x14ac:dyDescent="0.3">
      <c r="A61" s="2">
        <v>0</v>
      </c>
      <c r="B61" s="2" t="s">
        <v>32</v>
      </c>
      <c r="C61" s="2" t="s">
        <v>18</v>
      </c>
      <c r="D61" s="2" t="s">
        <v>41</v>
      </c>
      <c r="E61" s="29">
        <v>319499.84563200001</v>
      </c>
      <c r="F61" s="30">
        <v>77425.919999999998</v>
      </c>
    </row>
    <row r="62" spans="1:6" hidden="1" x14ac:dyDescent="0.3">
      <c r="A62" s="2">
        <v>0</v>
      </c>
      <c r="B62" s="2" t="s">
        <v>25</v>
      </c>
      <c r="C62" s="2" t="s">
        <v>14</v>
      </c>
      <c r="D62" s="2" t="s">
        <v>42</v>
      </c>
      <c r="E62" s="29">
        <v>285973.99142400001</v>
      </c>
      <c r="F62" s="30">
        <v>2413644.7680000002</v>
      </c>
    </row>
    <row r="63" spans="1:6" hidden="1" x14ac:dyDescent="0.3">
      <c r="A63" s="2">
        <v>0</v>
      </c>
      <c r="B63" s="2" t="s">
        <v>25</v>
      </c>
      <c r="C63" s="2" t="s">
        <v>47</v>
      </c>
      <c r="D63" s="2" t="s">
        <v>41</v>
      </c>
      <c r="E63" s="29">
        <v>106396.950528</v>
      </c>
      <c r="F63" s="30">
        <v>25783.68</v>
      </c>
    </row>
    <row r="64" spans="1:6" hidden="1" x14ac:dyDescent="0.3">
      <c r="A64" s="2">
        <v>0</v>
      </c>
      <c r="B64" s="2" t="s">
        <v>25</v>
      </c>
      <c r="C64" s="2" t="s">
        <v>47</v>
      </c>
      <c r="D64" s="2" t="s">
        <v>42</v>
      </c>
      <c r="E64" s="29">
        <v>108637.157376</v>
      </c>
      <c r="F64" s="30">
        <v>916906.83200000017</v>
      </c>
    </row>
    <row r="65" spans="1:6" hidden="1" x14ac:dyDescent="0.3">
      <c r="A65" s="2">
        <v>0</v>
      </c>
      <c r="B65" s="2" t="s">
        <v>25</v>
      </c>
      <c r="C65" s="2" t="s">
        <v>30</v>
      </c>
      <c r="D65" s="2" t="s">
        <v>42</v>
      </c>
      <c r="E65" s="29">
        <v>175354.12224000003</v>
      </c>
      <c r="F65" s="30">
        <v>1480003.6800000002</v>
      </c>
    </row>
    <row r="66" spans="1:6" hidden="1" x14ac:dyDescent="0.3">
      <c r="A66" s="2">
        <v>0</v>
      </c>
      <c r="B66" s="2" t="s">
        <v>25</v>
      </c>
      <c r="C66" s="2" t="s">
        <v>16</v>
      </c>
      <c r="D66" s="2" t="s">
        <v>41</v>
      </c>
      <c r="E66" s="29">
        <v>94037.188608000011</v>
      </c>
      <c r="F66" s="30">
        <v>22788.48</v>
      </c>
    </row>
    <row r="67" spans="1:6" hidden="1" x14ac:dyDescent="0.3">
      <c r="A67" s="2">
        <v>0</v>
      </c>
      <c r="B67" s="2" t="s">
        <v>25</v>
      </c>
      <c r="C67" s="2" t="s">
        <v>19</v>
      </c>
      <c r="D67" s="2" t="s">
        <v>42</v>
      </c>
      <c r="E67" s="29">
        <v>177697.32710400003</v>
      </c>
      <c r="F67" s="30">
        <v>1499780.5280000002</v>
      </c>
    </row>
    <row r="68" spans="1:6" hidden="1" x14ac:dyDescent="0.3">
      <c r="A68" s="2">
        <v>0</v>
      </c>
      <c r="B68" s="2" t="s">
        <v>25</v>
      </c>
      <c r="C68" s="2" t="s">
        <v>18</v>
      </c>
      <c r="D68" s="2" t="s">
        <v>42</v>
      </c>
      <c r="E68" s="29">
        <v>267537.34656000003</v>
      </c>
      <c r="F68" s="30">
        <v>2258037.9200000004</v>
      </c>
    </row>
    <row r="69" spans="1:6" hidden="1" x14ac:dyDescent="0.3">
      <c r="A69" s="2">
        <v>0</v>
      </c>
      <c r="B69" s="2" t="s">
        <v>30</v>
      </c>
      <c r="C69" s="2" t="s">
        <v>32</v>
      </c>
      <c r="D69" s="2" t="s">
        <v>41</v>
      </c>
      <c r="E69" s="29">
        <v>471215.92320000002</v>
      </c>
      <c r="F69" s="30">
        <v>114192</v>
      </c>
    </row>
    <row r="70" spans="1:6" hidden="1" x14ac:dyDescent="0.3">
      <c r="A70" s="2">
        <v>0</v>
      </c>
      <c r="B70" s="2" t="s">
        <v>30</v>
      </c>
      <c r="C70" s="2" t="s">
        <v>25</v>
      </c>
      <c r="D70" s="2" t="s">
        <v>42</v>
      </c>
      <c r="E70" s="29">
        <v>175354.12224000003</v>
      </c>
      <c r="F70" s="30">
        <v>1480003.6800000002</v>
      </c>
    </row>
    <row r="71" spans="1:6" hidden="1" x14ac:dyDescent="0.3">
      <c r="A71" s="2">
        <v>0</v>
      </c>
      <c r="B71" s="2" t="s">
        <v>30</v>
      </c>
      <c r="C71" s="2" t="s">
        <v>19</v>
      </c>
      <c r="D71" s="2" t="s">
        <v>41</v>
      </c>
      <c r="E71" s="29">
        <v>192503.29190400001</v>
      </c>
      <c r="F71" s="30">
        <v>46650.239999999998</v>
      </c>
    </row>
    <row r="72" spans="1:6" hidden="1" x14ac:dyDescent="0.3">
      <c r="A72" s="2">
        <v>0</v>
      </c>
      <c r="B72" s="2" t="s">
        <v>30</v>
      </c>
      <c r="C72" s="2" t="s">
        <v>19</v>
      </c>
      <c r="D72" s="2" t="s">
        <v>42</v>
      </c>
      <c r="E72" s="29">
        <v>105238.222848</v>
      </c>
      <c r="F72" s="30">
        <v>888219.53600000008</v>
      </c>
    </row>
    <row r="73" spans="1:6" hidden="1" x14ac:dyDescent="0.3">
      <c r="A73" s="2">
        <v>0</v>
      </c>
      <c r="B73" s="2" t="s">
        <v>30</v>
      </c>
      <c r="C73" s="2" t="s">
        <v>29</v>
      </c>
      <c r="D73" s="2" t="s">
        <v>41</v>
      </c>
      <c r="E73" s="29">
        <v>487386.61171200004</v>
      </c>
      <c r="F73" s="30">
        <v>118110.72</v>
      </c>
    </row>
    <row r="74" spans="1:6" hidden="1" x14ac:dyDescent="0.3">
      <c r="A74" s="2">
        <v>0</v>
      </c>
      <c r="B74" s="2" t="s">
        <v>26</v>
      </c>
      <c r="C74" s="2" t="s">
        <v>39</v>
      </c>
      <c r="D74" s="2" t="s">
        <v>41</v>
      </c>
      <c r="E74" s="29">
        <v>844068.74112000002</v>
      </c>
      <c r="F74" s="30">
        <v>204547.20000000001</v>
      </c>
    </row>
    <row r="75" spans="1:6" hidden="1" x14ac:dyDescent="0.3">
      <c r="A75" s="2">
        <v>0</v>
      </c>
      <c r="B75" s="2" t="s">
        <v>26</v>
      </c>
      <c r="C75" s="2" t="s">
        <v>16</v>
      </c>
      <c r="D75" s="2" t="s">
        <v>41</v>
      </c>
      <c r="E75" s="29">
        <v>243178.315776</v>
      </c>
      <c r="F75" s="30">
        <v>58930.560000000005</v>
      </c>
    </row>
    <row r="76" spans="1:6" x14ac:dyDescent="0.3">
      <c r="A76" s="2">
        <v>82</v>
      </c>
      <c r="B76" s="2" t="s">
        <v>16</v>
      </c>
      <c r="C76" s="2" t="s">
        <v>47</v>
      </c>
      <c r="D76" s="2" t="s">
        <v>41</v>
      </c>
      <c r="E76" s="29">
        <v>47482.085376000003</v>
      </c>
      <c r="F76" s="30">
        <v>11506.56</v>
      </c>
    </row>
    <row r="77" spans="1:6" x14ac:dyDescent="0.3">
      <c r="A77" s="2">
        <v>51</v>
      </c>
      <c r="B77" s="2" t="s">
        <v>16</v>
      </c>
      <c r="C77" s="2" t="s">
        <v>25</v>
      </c>
      <c r="D77" s="2" t="s">
        <v>41</v>
      </c>
      <c r="E77" s="29">
        <v>94037.188608000011</v>
      </c>
      <c r="F77" s="30">
        <v>22788.48</v>
      </c>
    </row>
    <row r="78" spans="1:6" x14ac:dyDescent="0.3">
      <c r="A78" s="2">
        <v>9</v>
      </c>
      <c r="B78" s="2" t="s">
        <v>16</v>
      </c>
      <c r="C78" s="2" t="s">
        <v>26</v>
      </c>
      <c r="D78" s="2" t="s">
        <v>41</v>
      </c>
      <c r="E78" s="29">
        <v>243178.315776</v>
      </c>
      <c r="F78" s="30">
        <v>58930.560000000005</v>
      </c>
    </row>
    <row r="79" spans="1:6" hidden="1" x14ac:dyDescent="0.3">
      <c r="A79" s="2">
        <v>0</v>
      </c>
      <c r="B79" s="2" t="s">
        <v>19</v>
      </c>
      <c r="C79" s="2" t="s">
        <v>14</v>
      </c>
      <c r="D79" s="2" t="s">
        <v>42</v>
      </c>
      <c r="E79" s="29">
        <v>263005.43385600002</v>
      </c>
      <c r="F79" s="30">
        <v>2219788.1920000003</v>
      </c>
    </row>
    <row r="80" spans="1:6" x14ac:dyDescent="0.3">
      <c r="A80" s="2">
        <v>21</v>
      </c>
      <c r="B80" s="2" t="s">
        <v>19</v>
      </c>
      <c r="C80" s="2" t="s">
        <v>32</v>
      </c>
      <c r="D80" s="2" t="s">
        <v>41</v>
      </c>
      <c r="E80" s="29">
        <v>401074.27430400002</v>
      </c>
      <c r="F80" s="30">
        <v>97194.240000000005</v>
      </c>
    </row>
    <row r="81" spans="1:6" hidden="1" x14ac:dyDescent="0.3">
      <c r="A81" s="2">
        <v>0</v>
      </c>
      <c r="B81" s="2" t="s">
        <v>19</v>
      </c>
      <c r="C81" s="2" t="s">
        <v>25</v>
      </c>
      <c r="D81" s="2" t="s">
        <v>42</v>
      </c>
      <c r="E81" s="29">
        <v>177697.32710400003</v>
      </c>
      <c r="F81" s="30">
        <v>1499780.5280000002</v>
      </c>
    </row>
    <row r="82" spans="1:6" hidden="1" x14ac:dyDescent="0.3">
      <c r="A82" s="2">
        <v>0</v>
      </c>
      <c r="B82" s="2" t="s">
        <v>19</v>
      </c>
      <c r="C82" s="2" t="s">
        <v>30</v>
      </c>
      <c r="D82" s="2" t="s">
        <v>41</v>
      </c>
      <c r="E82" s="29">
        <v>192503.29190400001</v>
      </c>
      <c r="F82" s="30">
        <v>46650.239999999998</v>
      </c>
    </row>
    <row r="83" spans="1:6" x14ac:dyDescent="0.3">
      <c r="A83" s="2">
        <v>21</v>
      </c>
      <c r="B83" s="2" t="s">
        <v>19</v>
      </c>
      <c r="C83" s="2" t="s">
        <v>30</v>
      </c>
      <c r="D83" s="2" t="s">
        <v>42</v>
      </c>
      <c r="E83" s="29">
        <v>105238.222848</v>
      </c>
      <c r="F83" s="30">
        <v>888219.53600000008</v>
      </c>
    </row>
    <row r="84" spans="1:6" x14ac:dyDescent="0.3">
      <c r="A84" s="2">
        <v>20</v>
      </c>
      <c r="B84" s="2" t="s">
        <v>19</v>
      </c>
      <c r="C84" s="2" t="s">
        <v>29</v>
      </c>
      <c r="D84" s="2" t="s">
        <v>41</v>
      </c>
      <c r="E84" s="29">
        <v>482545.70496000006</v>
      </c>
      <c r="F84" s="30">
        <v>116937.60000000001</v>
      </c>
    </row>
    <row r="85" spans="1:6" hidden="1" x14ac:dyDescent="0.3">
      <c r="A85" s="2">
        <v>0</v>
      </c>
      <c r="B85" s="2" t="s">
        <v>19</v>
      </c>
      <c r="C85" s="2" t="s">
        <v>18</v>
      </c>
      <c r="D85" s="2" t="s">
        <v>41</v>
      </c>
      <c r="E85" s="29">
        <v>267897.83961600001</v>
      </c>
      <c r="F85" s="30">
        <v>64920.959999999999</v>
      </c>
    </row>
    <row r="86" spans="1:6" hidden="1" x14ac:dyDescent="0.3">
      <c r="A86" s="2">
        <v>0</v>
      </c>
      <c r="B86" s="2" t="s">
        <v>19</v>
      </c>
      <c r="C86" s="2" t="s">
        <v>18</v>
      </c>
      <c r="D86" s="2" t="s">
        <v>42</v>
      </c>
      <c r="E86" s="29">
        <v>89788.52044800001</v>
      </c>
      <c r="F86" s="30">
        <v>757822.73600000015</v>
      </c>
    </row>
    <row r="87" spans="1:6" hidden="1" x14ac:dyDescent="0.3">
      <c r="A87" s="2">
        <v>0</v>
      </c>
      <c r="B87" s="2" t="s">
        <v>29</v>
      </c>
      <c r="C87" s="2" t="s">
        <v>28</v>
      </c>
      <c r="D87" s="2" t="s">
        <v>42</v>
      </c>
      <c r="E87" s="29">
        <v>238543.40505600002</v>
      </c>
      <c r="F87" s="30">
        <v>2013326.5920000002</v>
      </c>
    </row>
    <row r="88" spans="1:6" hidden="1" x14ac:dyDescent="0.3">
      <c r="A88" s="2">
        <v>0</v>
      </c>
      <c r="B88" s="2" t="s">
        <v>29</v>
      </c>
      <c r="C88" s="2" t="s">
        <v>32</v>
      </c>
      <c r="D88" s="2" t="s">
        <v>41</v>
      </c>
      <c r="E88" s="29">
        <v>188177.37523200002</v>
      </c>
      <c r="F88" s="30">
        <v>45601.919999999998</v>
      </c>
    </row>
    <row r="89" spans="1:6" hidden="1" x14ac:dyDescent="0.3">
      <c r="A89" s="2">
        <v>0</v>
      </c>
      <c r="B89" s="2" t="s">
        <v>29</v>
      </c>
      <c r="C89" s="2" t="s">
        <v>32</v>
      </c>
      <c r="D89" s="2" t="s">
        <v>42</v>
      </c>
      <c r="E89" s="29">
        <v>59610.101760000005</v>
      </c>
      <c r="F89" s="30">
        <v>503114.32000000007</v>
      </c>
    </row>
    <row r="90" spans="1:6" hidden="1" x14ac:dyDescent="0.3">
      <c r="A90" s="2">
        <v>0</v>
      </c>
      <c r="B90" s="2" t="s">
        <v>29</v>
      </c>
      <c r="C90" s="2" t="s">
        <v>30</v>
      </c>
      <c r="D90" s="2" t="s">
        <v>41</v>
      </c>
      <c r="E90" s="29">
        <v>487386.61171200004</v>
      </c>
      <c r="F90" s="30">
        <v>118110.72</v>
      </c>
    </row>
    <row r="91" spans="1:6" hidden="1" x14ac:dyDescent="0.3">
      <c r="A91" s="2">
        <v>0</v>
      </c>
      <c r="B91" s="2" t="s">
        <v>29</v>
      </c>
      <c r="C91" s="2" t="s">
        <v>19</v>
      </c>
      <c r="D91" s="2" t="s">
        <v>41</v>
      </c>
      <c r="E91" s="29">
        <v>482545.70496000006</v>
      </c>
      <c r="F91" s="30">
        <v>116937.60000000001</v>
      </c>
    </row>
    <row r="92" spans="1:6" hidden="1" x14ac:dyDescent="0.3">
      <c r="A92" s="2">
        <v>0</v>
      </c>
      <c r="B92" s="2" t="s">
        <v>31</v>
      </c>
      <c r="C92" s="2" t="s">
        <v>17</v>
      </c>
      <c r="D92" s="2" t="s">
        <v>42</v>
      </c>
      <c r="E92" s="29">
        <v>259606.49932800001</v>
      </c>
      <c r="F92" s="30">
        <v>2191100.8960000002</v>
      </c>
    </row>
    <row r="93" spans="1:6" hidden="1" x14ac:dyDescent="0.3">
      <c r="A93" s="2">
        <v>0</v>
      </c>
      <c r="B93" s="2" t="s">
        <v>31</v>
      </c>
      <c r="C93" s="2" t="s">
        <v>15</v>
      </c>
      <c r="D93" s="2" t="s">
        <v>42</v>
      </c>
      <c r="E93" s="29">
        <v>274644.20966400002</v>
      </c>
      <c r="F93" s="30">
        <v>2318020.4480000003</v>
      </c>
    </row>
    <row r="94" spans="1:6" hidden="1" x14ac:dyDescent="0.3">
      <c r="A94" s="2">
        <v>0</v>
      </c>
      <c r="B94" s="2" t="s">
        <v>31</v>
      </c>
      <c r="C94" s="2" t="s">
        <v>39</v>
      </c>
      <c r="D94" s="2" t="s">
        <v>42</v>
      </c>
      <c r="E94" s="29">
        <v>269571.55737600004</v>
      </c>
      <c r="F94" s="30">
        <v>2275206.8320000004</v>
      </c>
    </row>
    <row r="95" spans="1:6" hidden="1" x14ac:dyDescent="0.3">
      <c r="A95" s="2">
        <v>0</v>
      </c>
      <c r="B95" s="2" t="s">
        <v>31</v>
      </c>
      <c r="C95" s="2" t="s">
        <v>44</v>
      </c>
      <c r="D95" s="2" t="s">
        <v>42</v>
      </c>
      <c r="E95" s="29">
        <v>359334.32832000003</v>
      </c>
      <c r="F95" s="30">
        <v>3032812.24</v>
      </c>
    </row>
    <row r="96" spans="1:6" hidden="1" x14ac:dyDescent="0.3">
      <c r="A96" s="2">
        <v>0</v>
      </c>
      <c r="B96" s="2" t="s">
        <v>31</v>
      </c>
      <c r="C96" s="2" t="s">
        <v>32</v>
      </c>
      <c r="D96" s="2" t="s">
        <v>42</v>
      </c>
      <c r="E96" s="29">
        <v>341953.41312000004</v>
      </c>
      <c r="F96" s="30">
        <v>2886115.8400000003</v>
      </c>
    </row>
    <row r="97" spans="1:16" x14ac:dyDescent="0.3">
      <c r="A97" s="2">
        <v>4</v>
      </c>
      <c r="B97" s="2" t="s">
        <v>18</v>
      </c>
      <c r="C97" s="2" t="s">
        <v>14</v>
      </c>
      <c r="D97" s="2" t="s">
        <v>42</v>
      </c>
      <c r="E97" s="29">
        <v>334022.56588800001</v>
      </c>
      <c r="F97" s="30">
        <v>2819178.8160000006</v>
      </c>
    </row>
    <row r="98" spans="1:16" hidden="1" x14ac:dyDescent="0.3">
      <c r="A98" s="2">
        <v>0</v>
      </c>
      <c r="B98" s="2" t="s">
        <v>18</v>
      </c>
      <c r="C98" s="2" t="s">
        <v>47</v>
      </c>
      <c r="D98" s="2" t="s">
        <v>42</v>
      </c>
      <c r="E98" s="29">
        <v>286308.73497600004</v>
      </c>
      <c r="F98" s="30">
        <v>2416470.0320000001</v>
      </c>
    </row>
    <row r="99" spans="1:16" hidden="1" x14ac:dyDescent="0.3">
      <c r="A99" s="2">
        <v>0</v>
      </c>
      <c r="B99" s="2" t="s">
        <v>18</v>
      </c>
      <c r="C99" s="2" t="s">
        <v>32</v>
      </c>
      <c r="D99" s="2" t="s">
        <v>41</v>
      </c>
      <c r="E99" s="29">
        <v>319499.84563200001</v>
      </c>
      <c r="F99" s="30">
        <v>77425.919999999998</v>
      </c>
    </row>
    <row r="100" spans="1:16" hidden="1" x14ac:dyDescent="0.3">
      <c r="A100" s="2">
        <v>0</v>
      </c>
      <c r="B100" s="2" t="s">
        <v>18</v>
      </c>
      <c r="C100" s="2" t="s">
        <v>25</v>
      </c>
      <c r="D100" s="2" t="s">
        <v>42</v>
      </c>
      <c r="E100" s="29">
        <v>267537.34656000003</v>
      </c>
      <c r="F100" s="30">
        <v>2258037.9200000004</v>
      </c>
    </row>
    <row r="101" spans="1:16" hidden="1" x14ac:dyDescent="0.3">
      <c r="A101" s="2">
        <v>0</v>
      </c>
      <c r="B101" s="2" t="s">
        <v>18</v>
      </c>
      <c r="C101" s="2" t="s">
        <v>19</v>
      </c>
      <c r="D101" s="2" t="s">
        <v>41</v>
      </c>
      <c r="E101" s="29">
        <v>267897.83961600001</v>
      </c>
      <c r="F101" s="30">
        <v>64920.959999999999</v>
      </c>
    </row>
    <row r="102" spans="1:16" x14ac:dyDescent="0.3">
      <c r="A102" s="2">
        <v>61</v>
      </c>
      <c r="B102" s="2" t="s">
        <v>18</v>
      </c>
      <c r="C102" s="2" t="s">
        <v>19</v>
      </c>
      <c r="D102" s="2" t="s">
        <v>42</v>
      </c>
      <c r="E102" s="29">
        <v>89788.52044800001</v>
      </c>
      <c r="F102" s="30">
        <v>757822.73600000015</v>
      </c>
    </row>
    <row r="104" spans="1:16" x14ac:dyDescent="0.3">
      <c r="G104" s="2" t="s">
        <v>53</v>
      </c>
      <c r="H104" s="2" t="s">
        <v>54</v>
      </c>
      <c r="I104" s="2" t="s">
        <v>55</v>
      </c>
      <c r="J104" s="2" t="s">
        <v>60</v>
      </c>
      <c r="N104" s="2" t="s">
        <v>4</v>
      </c>
      <c r="O104" s="2" t="s">
        <v>5</v>
      </c>
      <c r="P104" s="2" t="s">
        <v>6</v>
      </c>
    </row>
    <row r="105" spans="1:16" x14ac:dyDescent="0.3">
      <c r="G105" s="29">
        <f>SUMPRODUCT($A$3:$A$100,E3:E100)</f>
        <v>13370925772.479485</v>
      </c>
      <c r="H105" s="30">
        <f>SUMPRODUCT($A$3:$A$100,F3:F100)</f>
        <v>444600829.04000008</v>
      </c>
      <c r="I105" s="30">
        <f>G105*(1-J105)+H105*J105</f>
        <v>6907763300.7597427</v>
      </c>
      <c r="J105" s="2">
        <v>0.5</v>
      </c>
      <c r="N105" s="2" t="s">
        <v>59</v>
      </c>
      <c r="O105" s="2">
        <f>SUMIF(Nodes[Destination],N105,Nodes[']])-SUMIF(Nodes[Origin],N105,Nodes[']])</f>
        <v>-506</v>
      </c>
      <c r="P105" s="2">
        <f>-SUM(_xlfn.ANCHORARRAY(P106))</f>
        <v>-506</v>
      </c>
    </row>
    <row r="106" spans="1:16" x14ac:dyDescent="0.3">
      <c r="G106" s="14">
        <f>G105/ABS($P$105)/1000</f>
        <v>26424.754491066178</v>
      </c>
      <c r="H106" s="30">
        <f>H105/ABS($P$105)/1000</f>
        <v>878.65776490118583</v>
      </c>
      <c r="I106" s="2" t="s">
        <v>56</v>
      </c>
      <c r="N106" s="2" t="str" cm="1">
        <f t="array" ref="N106:N123">T3Data!B2:B19</f>
        <v>MUN</v>
      </c>
      <c r="O106" s="2">
        <f>SUMIF(Nodes[Destination],N106,Nodes[']])-SUMIF(Nodes[Origin],N106,Nodes[']])</f>
        <v>82</v>
      </c>
      <c r="P106" s="2" cm="1">
        <f t="array" ref="P106:P123">T3Data!F2:F19</f>
        <v>82</v>
      </c>
    </row>
    <row r="107" spans="1:16" x14ac:dyDescent="0.3">
      <c r="N107" s="2" t="str">
        <v>CHE</v>
      </c>
      <c r="O107" s="2">
        <f>SUMIF(Nodes[Destination],N107,Nodes[']])-SUMIF(Nodes[Origin],N107,Nodes[']])</f>
        <v>9</v>
      </c>
      <c r="P107" s="2">
        <v>9</v>
      </c>
    </row>
    <row r="108" spans="1:16" x14ac:dyDescent="0.3">
      <c r="N108" s="2" t="str">
        <v>BKK</v>
      </c>
      <c r="O108" s="2">
        <f>SUMIF(Nodes[Destination],N108,Nodes[']])-SUMIF(Nodes[Origin],N108,Nodes[']])</f>
        <v>9</v>
      </c>
      <c r="P108" s="2">
        <v>9</v>
      </c>
    </row>
    <row r="109" spans="1:16" x14ac:dyDescent="0.3">
      <c r="N109" s="2" t="str">
        <v>DAL</v>
      </c>
      <c r="O109" s="2">
        <f>SUMIF(Nodes[Destination],N109,Nodes[']])-SUMIF(Nodes[Origin],N109,Nodes[']])</f>
        <v>86</v>
      </c>
      <c r="P109" s="2">
        <v>86</v>
      </c>
    </row>
    <row r="110" spans="1:16" x14ac:dyDescent="0.3">
      <c r="N110" s="2" t="str">
        <v>TAM</v>
      </c>
      <c r="O110" s="2">
        <f>SUMIF(Nodes[Destination],N110,Nodes[']])-SUMIF(Nodes[Origin],N110,Nodes[']])</f>
        <v>5</v>
      </c>
      <c r="P110" s="2">
        <v>5</v>
      </c>
    </row>
    <row r="111" spans="1:16" x14ac:dyDescent="0.3">
      <c r="N111" s="2" t="str">
        <v>SAV</v>
      </c>
      <c r="O111" s="2">
        <f>SUMIF(Nodes[Destination],N111,Nodes[']])-SUMIF(Nodes[Origin],N111,Nodes[']])</f>
        <v>20</v>
      </c>
      <c r="P111" s="2">
        <v>20</v>
      </c>
    </row>
    <row r="112" spans="1:16" x14ac:dyDescent="0.3">
      <c r="N112" s="2" t="str">
        <v>ARA</v>
      </c>
      <c r="O112" s="2">
        <f>SUMIF(Nodes[Destination],N112,Nodes[']])-SUMIF(Nodes[Origin],N112,Nodes[']])</f>
        <v>4</v>
      </c>
      <c r="P112" s="2">
        <v>4</v>
      </c>
    </row>
    <row r="113" spans="14:16" x14ac:dyDescent="0.3">
      <c r="N113" s="2" t="str">
        <v>DUR</v>
      </c>
      <c r="O113" s="2">
        <f>SUMIF(Nodes[Destination],N113,Nodes[']])-SUMIF(Nodes[Origin],N113,Nodes[']])</f>
        <v>1</v>
      </c>
      <c r="P113" s="2">
        <v>1</v>
      </c>
    </row>
    <row r="114" spans="14:16" x14ac:dyDescent="0.3">
      <c r="N114" s="2" t="str">
        <v>GOA</v>
      </c>
      <c r="O114" s="2">
        <f>SUMIF(Nodes[Destination],N114,Nodes[']])-SUMIF(Nodes[Origin],N114,Nodes[']])</f>
        <v>48</v>
      </c>
      <c r="P114" s="2">
        <v>48</v>
      </c>
    </row>
    <row r="115" spans="14:16" x14ac:dyDescent="0.3">
      <c r="N115" s="2" t="str">
        <v>LON</v>
      </c>
      <c r="O115" s="2">
        <f>SUMIF(Nodes[Destination],N115,Nodes[']])-SUMIF(Nodes[Origin],N115,Nodes[']])</f>
        <v>51</v>
      </c>
      <c r="P115" s="2">
        <v>51</v>
      </c>
    </row>
    <row r="116" spans="14:16" x14ac:dyDescent="0.3">
      <c r="N116" s="2" t="str">
        <v>MOS</v>
      </c>
      <c r="O116" s="2">
        <f>SUMIF(Nodes[Destination],N116,Nodes[']])-SUMIF(Nodes[Origin],N116,Nodes[']])</f>
        <v>9</v>
      </c>
      <c r="P116" s="2">
        <v>9</v>
      </c>
    </row>
    <row r="117" spans="14:16" x14ac:dyDescent="0.3">
      <c r="N117" s="2" t="str">
        <v>HKG</v>
      </c>
      <c r="O117" s="2">
        <f>SUMIF(Nodes[Destination],N117,Nodes[']])-SUMIF(Nodes[Origin],N117,Nodes[']])</f>
        <v>85</v>
      </c>
      <c r="P117" s="2">
        <v>85</v>
      </c>
    </row>
    <row r="118" spans="14:16" x14ac:dyDescent="0.3">
      <c r="N118" s="2" t="str">
        <v>BUS</v>
      </c>
      <c r="O118" s="2">
        <f>SUMIF(Nodes[Destination],N118,Nodes[']])-SUMIF(Nodes[Origin],N118,Nodes[']])</f>
        <v>26</v>
      </c>
      <c r="P118" s="2">
        <v>26</v>
      </c>
    </row>
    <row r="119" spans="14:16" x14ac:dyDescent="0.3">
      <c r="N119" s="2" t="str">
        <v>LAX</v>
      </c>
      <c r="O119" s="2">
        <f>SUMIF(Nodes[Destination],N119,Nodes[']])-SUMIF(Nodes[Origin],N119,Nodes[']])</f>
        <v>21</v>
      </c>
      <c r="P119" s="2">
        <v>21</v>
      </c>
    </row>
    <row r="120" spans="14:16" x14ac:dyDescent="0.3">
      <c r="N120" s="2" t="str">
        <v>SEA</v>
      </c>
      <c r="O120" s="2">
        <f>SUMIF(Nodes[Destination],N120,Nodes[']])-SUMIF(Nodes[Origin],N120,Nodes[']])</f>
        <v>20</v>
      </c>
      <c r="P120" s="2">
        <v>20</v>
      </c>
    </row>
    <row r="121" spans="14:16" x14ac:dyDescent="0.3">
      <c r="N121" s="2" t="str">
        <v>MON</v>
      </c>
      <c r="O121" s="2">
        <f>SUMIF(Nodes[Destination],N121,Nodes[']])-SUMIF(Nodes[Origin],N121,Nodes[']])</f>
        <v>21</v>
      </c>
      <c r="P121" s="2">
        <v>21</v>
      </c>
    </row>
    <row r="122" spans="14:16" x14ac:dyDescent="0.3">
      <c r="N122" s="2" t="str">
        <v>SYD</v>
      </c>
      <c r="O122" s="2">
        <f>SUMIF(Nodes[Destination],N122,Nodes[']])-SUMIF(Nodes[Origin],N122,Nodes[']])</f>
        <v>4</v>
      </c>
      <c r="P122" s="2">
        <v>4</v>
      </c>
    </row>
    <row r="123" spans="14:16" x14ac:dyDescent="0.3">
      <c r="N123" s="2" t="str">
        <v>DBI</v>
      </c>
      <c r="O123" s="2">
        <f>SUMIF(Nodes[Destination],N123,Nodes[']])-SUMIF(Nodes[Origin],N123,Nodes[']])</f>
        <v>5</v>
      </c>
      <c r="P123" s="2">
        <v>5</v>
      </c>
    </row>
  </sheetData>
  <sortState xmlns:xlrd2="http://schemas.microsoft.com/office/spreadsheetml/2017/richdata2" ref="B11:F102">
    <sortCondition ref="B11:B102"/>
    <sortCondition ref="C11:C102"/>
    <sortCondition ref="D11:D102"/>
  </sortState>
  <conditionalFormatting sqref="A3:A102">
    <cfRule type="cellIs" dxfId="6" priority="1" operator="greaterThan">
      <formula>0</formula>
    </cfRule>
  </conditionalFormatting>
  <pageMargins left="0.7" right="0.7" top="0.75" bottom="0.75" header="0.3" footer="0.3"/>
  <pageSetup paperSize="9" orientation="portrait" horizontalDpi="0" verticalDpi="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379F1B-1E02-4644-B51D-5BE92B9B50E8}">
  <sheetPr codeName="Sheet8">
    <tabColor rgb="FF92D050"/>
  </sheetPr>
  <dimension ref="A2:P123"/>
  <sheetViews>
    <sheetView zoomScale="85" zoomScaleNormal="85" workbookViewId="0">
      <selection activeCell="K2" sqref="K2"/>
    </sheetView>
  </sheetViews>
  <sheetFormatPr defaultRowHeight="14.5" x14ac:dyDescent="0.35"/>
  <cols>
    <col min="1" max="1" width="12.453125" bestFit="1" customWidth="1"/>
    <col min="2" max="2" width="10.08984375" bestFit="1" customWidth="1"/>
    <col min="3" max="3" width="12.1796875" customWidth="1"/>
    <col min="4" max="4" width="10.08984375" bestFit="1" customWidth="1"/>
    <col min="5" max="5" width="16.1796875" customWidth="1"/>
    <col min="6" max="6" width="13.36328125" customWidth="1"/>
    <col min="7" max="7" width="23.1796875" customWidth="1"/>
    <col min="8" max="8" width="22.08984375" customWidth="1"/>
    <col min="9" max="9" width="19.54296875" bestFit="1" customWidth="1"/>
    <col min="10" max="10" width="14" bestFit="1" customWidth="1"/>
    <col min="11" max="12" width="8.90625" bestFit="1" customWidth="1"/>
    <col min="13" max="13" width="10" customWidth="1"/>
  </cols>
  <sheetData>
    <row r="2" spans="1:12" x14ac:dyDescent="0.35">
      <c r="A2" t="s">
        <v>0</v>
      </c>
      <c r="B2" t="s">
        <v>1</v>
      </c>
      <c r="C2" t="s">
        <v>2</v>
      </c>
      <c r="D2" t="s">
        <v>46</v>
      </c>
      <c r="E2" t="s">
        <v>3</v>
      </c>
      <c r="F2" t="s">
        <v>40</v>
      </c>
      <c r="G2" t="s">
        <v>61</v>
      </c>
      <c r="H2" t="s">
        <v>63</v>
      </c>
      <c r="I2" t="s">
        <v>51</v>
      </c>
      <c r="J2" t="s">
        <v>64</v>
      </c>
      <c r="K2" t="s">
        <v>62</v>
      </c>
      <c r="L2" t="s">
        <v>52</v>
      </c>
    </row>
    <row r="3" spans="1:12" x14ac:dyDescent="0.35">
      <c r="A3">
        <v>11</v>
      </c>
      <c r="B3" t="s">
        <v>59</v>
      </c>
      <c r="C3" t="str">
        <f>T3Data!B2</f>
        <v>MUN</v>
      </c>
      <c r="D3" t="s">
        <v>59</v>
      </c>
      <c r="E3" s="6">
        <f>T3Data!J2</f>
        <v>27554200</v>
      </c>
      <c r="F3" s="8">
        <f>T3Data!L2</f>
        <v>330000</v>
      </c>
      <c r="G3">
        <v>1</v>
      </c>
      <c r="H3">
        <v>999</v>
      </c>
      <c r="I3" cm="1">
        <f t="array" ref="I3:I10">T3Data!M2:M9</f>
        <v>1</v>
      </c>
      <c r="J3">
        <f t="shared" ref="J3:J10" si="0">G3*H3</f>
        <v>999</v>
      </c>
      <c r="K3">
        <f t="shared" ref="K3:K10" si="1">G3*I3</f>
        <v>1</v>
      </c>
      <c r="L3" cm="1">
        <f t="array" ref="L3:L10">T3Data!N2:N9</f>
        <v>210</v>
      </c>
    </row>
    <row r="4" spans="1:12" x14ac:dyDescent="0.35">
      <c r="A4">
        <v>10</v>
      </c>
      <c r="B4" t="s">
        <v>59</v>
      </c>
      <c r="C4" t="str">
        <f>T3Data!B3</f>
        <v>CHE</v>
      </c>
      <c r="D4" t="s">
        <v>59</v>
      </c>
      <c r="E4" s="6">
        <f>T3Data!J3</f>
        <v>25048600</v>
      </c>
      <c r="F4" s="8">
        <f>T3Data!L3</f>
        <v>330000</v>
      </c>
      <c r="G4">
        <v>1</v>
      </c>
      <c r="H4">
        <v>999</v>
      </c>
      <c r="I4">
        <v>5</v>
      </c>
      <c r="J4">
        <f t="shared" si="0"/>
        <v>999</v>
      </c>
      <c r="K4">
        <f t="shared" si="1"/>
        <v>5</v>
      </c>
      <c r="L4">
        <v>10</v>
      </c>
    </row>
    <row r="5" spans="1:12" x14ac:dyDescent="0.35">
      <c r="A5">
        <v>10</v>
      </c>
      <c r="B5" t="s">
        <v>59</v>
      </c>
      <c r="C5" t="str">
        <f>T3Data!B4</f>
        <v>BKK</v>
      </c>
      <c r="D5" t="s">
        <v>59</v>
      </c>
      <c r="E5" s="6">
        <f>T3Data!J4</f>
        <v>25232200</v>
      </c>
      <c r="F5" s="8">
        <f>T3Data!L4</f>
        <v>330000</v>
      </c>
      <c r="G5">
        <v>1</v>
      </c>
      <c r="H5">
        <v>999</v>
      </c>
      <c r="I5">
        <v>5</v>
      </c>
      <c r="J5">
        <f t="shared" si="0"/>
        <v>999</v>
      </c>
      <c r="K5">
        <f t="shared" si="1"/>
        <v>5</v>
      </c>
      <c r="L5">
        <v>10</v>
      </c>
    </row>
    <row r="6" spans="1:12" x14ac:dyDescent="0.35">
      <c r="A6">
        <v>230</v>
      </c>
      <c r="B6" t="s">
        <v>59</v>
      </c>
      <c r="C6" t="str">
        <f>T3Data!B5</f>
        <v>DAL</v>
      </c>
      <c r="D6" t="s">
        <v>59</v>
      </c>
      <c r="E6" s="6">
        <f>T3Data!J5</f>
        <v>25228600</v>
      </c>
      <c r="F6" s="8">
        <f>T3Data!L5</f>
        <v>330000</v>
      </c>
      <c r="G6">
        <v>1</v>
      </c>
      <c r="H6">
        <v>999</v>
      </c>
      <c r="I6">
        <v>5</v>
      </c>
      <c r="J6">
        <f t="shared" si="0"/>
        <v>999</v>
      </c>
      <c r="K6">
        <f t="shared" si="1"/>
        <v>5</v>
      </c>
      <c r="L6">
        <v>230</v>
      </c>
    </row>
    <row r="7" spans="1:12" x14ac:dyDescent="0.35">
      <c r="A7">
        <v>70</v>
      </c>
      <c r="B7" t="s">
        <v>59</v>
      </c>
      <c r="C7" t="str">
        <f>T3Data!B6</f>
        <v>TAM</v>
      </c>
      <c r="D7" t="s">
        <v>59</v>
      </c>
      <c r="E7" s="6">
        <f>T3Data!J6</f>
        <v>25223200</v>
      </c>
      <c r="F7" s="8">
        <f>T3Data!L6</f>
        <v>330000</v>
      </c>
      <c r="G7">
        <v>1</v>
      </c>
      <c r="H7">
        <v>999</v>
      </c>
      <c r="I7">
        <v>5</v>
      </c>
      <c r="J7">
        <f t="shared" si="0"/>
        <v>999</v>
      </c>
      <c r="K7">
        <f t="shared" si="1"/>
        <v>5</v>
      </c>
      <c r="L7">
        <v>70</v>
      </c>
    </row>
    <row r="8" spans="1:12" x14ac:dyDescent="0.35">
      <c r="A8">
        <v>145</v>
      </c>
      <c r="B8" t="s">
        <v>59</v>
      </c>
      <c r="C8" t="str">
        <f>T3Data!B7</f>
        <v>SAV</v>
      </c>
      <c r="D8" t="s">
        <v>59</v>
      </c>
      <c r="E8" s="6">
        <f>T3Data!J7</f>
        <v>26305000</v>
      </c>
      <c r="F8" s="8">
        <f>T3Data!L7</f>
        <v>330000</v>
      </c>
      <c r="G8">
        <v>1</v>
      </c>
      <c r="H8">
        <v>999</v>
      </c>
      <c r="I8">
        <v>5</v>
      </c>
      <c r="J8">
        <f t="shared" si="0"/>
        <v>999</v>
      </c>
      <c r="K8">
        <f t="shared" si="1"/>
        <v>5</v>
      </c>
      <c r="L8">
        <v>145</v>
      </c>
    </row>
    <row r="9" spans="1:12" x14ac:dyDescent="0.35">
      <c r="A9">
        <v>10</v>
      </c>
      <c r="B9" t="s">
        <v>59</v>
      </c>
      <c r="C9" t="str">
        <f>T3Data!B8</f>
        <v>ARA</v>
      </c>
      <c r="D9" t="s">
        <v>59</v>
      </c>
      <c r="E9" s="6">
        <f>T3Data!J8</f>
        <v>25230400</v>
      </c>
      <c r="F9" s="8">
        <f>T3Data!L8</f>
        <v>330000</v>
      </c>
      <c r="G9">
        <v>1</v>
      </c>
      <c r="H9">
        <v>999</v>
      </c>
      <c r="I9">
        <v>5</v>
      </c>
      <c r="J9">
        <f t="shared" si="0"/>
        <v>999</v>
      </c>
      <c r="K9">
        <f t="shared" si="1"/>
        <v>5</v>
      </c>
      <c r="L9">
        <v>10</v>
      </c>
    </row>
    <row r="10" spans="1:12" x14ac:dyDescent="0.35">
      <c r="A10">
        <v>20</v>
      </c>
      <c r="B10" t="s">
        <v>59</v>
      </c>
      <c r="C10" t="str">
        <f>T3Data!B9</f>
        <v>DUR</v>
      </c>
      <c r="D10" t="s">
        <v>59</v>
      </c>
      <c r="E10" s="6">
        <f>T3Data!J9</f>
        <v>25282600</v>
      </c>
      <c r="F10" s="8">
        <f>T3Data!L9</f>
        <v>330000</v>
      </c>
      <c r="G10">
        <v>1</v>
      </c>
      <c r="H10">
        <v>999</v>
      </c>
      <c r="I10">
        <v>5</v>
      </c>
      <c r="J10">
        <f t="shared" si="0"/>
        <v>999</v>
      </c>
      <c r="K10">
        <f t="shared" si="1"/>
        <v>5</v>
      </c>
      <c r="L10">
        <v>20</v>
      </c>
    </row>
    <row r="11" spans="1:12" x14ac:dyDescent="0.35">
      <c r="A11">
        <v>6</v>
      </c>
      <c r="B11" t="s">
        <v>14</v>
      </c>
      <c r="C11" t="s">
        <v>47</v>
      </c>
      <c r="D11" t="s">
        <v>42</v>
      </c>
      <c r="E11" s="6">
        <v>255229.08364800003</v>
      </c>
      <c r="F11" s="8">
        <v>2154155.1360000004</v>
      </c>
    </row>
    <row r="12" spans="1:12" hidden="1" x14ac:dyDescent="0.35">
      <c r="A12">
        <v>0</v>
      </c>
      <c r="B12" t="s">
        <v>14</v>
      </c>
      <c r="C12" t="s">
        <v>25</v>
      </c>
      <c r="D12" t="s">
        <v>42</v>
      </c>
      <c r="E12" s="6">
        <v>285973.99142400001</v>
      </c>
      <c r="F12" s="8">
        <v>2413644.7680000002</v>
      </c>
    </row>
    <row r="13" spans="1:12" hidden="1" x14ac:dyDescent="0.35">
      <c r="A13">
        <v>0</v>
      </c>
      <c r="B13" t="s">
        <v>14</v>
      </c>
      <c r="C13" t="s">
        <v>19</v>
      </c>
      <c r="D13" t="s">
        <v>42</v>
      </c>
      <c r="E13" s="6">
        <v>263005.43385600002</v>
      </c>
      <c r="F13" s="8">
        <v>2219788.1920000003</v>
      </c>
    </row>
    <row r="14" spans="1:12" hidden="1" x14ac:dyDescent="0.35">
      <c r="A14">
        <v>0</v>
      </c>
      <c r="B14" t="s">
        <v>14</v>
      </c>
      <c r="C14" t="s">
        <v>18</v>
      </c>
      <c r="D14" t="s">
        <v>42</v>
      </c>
      <c r="E14" s="6">
        <v>334022.56588800001</v>
      </c>
      <c r="F14" s="8">
        <v>2819178.8160000006</v>
      </c>
    </row>
    <row r="15" spans="1:12" hidden="1" x14ac:dyDescent="0.35">
      <c r="A15">
        <v>0</v>
      </c>
      <c r="B15" t="s">
        <v>17</v>
      </c>
      <c r="C15" t="s">
        <v>15</v>
      </c>
      <c r="D15" t="s">
        <v>42</v>
      </c>
      <c r="E15" s="6">
        <v>133176.43468800001</v>
      </c>
      <c r="F15" s="8">
        <v>1124020.4160000002</v>
      </c>
    </row>
    <row r="16" spans="1:12" x14ac:dyDescent="0.35">
      <c r="A16">
        <v>1</v>
      </c>
      <c r="B16" t="s">
        <v>17</v>
      </c>
      <c r="C16" t="s">
        <v>27</v>
      </c>
      <c r="D16" t="s">
        <v>42</v>
      </c>
      <c r="E16" s="6">
        <v>70579.390464000011</v>
      </c>
      <c r="F16" s="8">
        <v>595696.04800000007</v>
      </c>
    </row>
    <row r="17" spans="1:6" hidden="1" x14ac:dyDescent="0.35">
      <c r="A17">
        <v>0</v>
      </c>
      <c r="B17" t="s">
        <v>17</v>
      </c>
      <c r="C17" t="s">
        <v>32</v>
      </c>
      <c r="D17" t="s">
        <v>42</v>
      </c>
      <c r="E17" s="6">
        <v>383950.85414400004</v>
      </c>
      <c r="F17" s="8">
        <v>3240577.8080000007</v>
      </c>
    </row>
    <row r="18" spans="1:6" hidden="1" x14ac:dyDescent="0.35">
      <c r="A18">
        <v>0</v>
      </c>
      <c r="B18" t="s">
        <v>17</v>
      </c>
      <c r="C18" t="s">
        <v>31</v>
      </c>
      <c r="D18" t="s">
        <v>42</v>
      </c>
      <c r="E18" s="6">
        <v>259606.49932800001</v>
      </c>
      <c r="F18" s="8">
        <v>2191100.8960000002</v>
      </c>
    </row>
    <row r="19" spans="1:6" hidden="1" x14ac:dyDescent="0.35">
      <c r="A19">
        <v>0</v>
      </c>
      <c r="B19" t="s">
        <v>28</v>
      </c>
      <c r="C19" t="s">
        <v>39</v>
      </c>
      <c r="D19" t="s">
        <v>42</v>
      </c>
      <c r="E19" s="6">
        <v>27011.229696000002</v>
      </c>
      <c r="F19" s="8">
        <v>227977.07200000004</v>
      </c>
    </row>
    <row r="20" spans="1:6" hidden="1" x14ac:dyDescent="0.35">
      <c r="A20">
        <v>0</v>
      </c>
      <c r="B20" t="s">
        <v>28</v>
      </c>
      <c r="C20" t="s">
        <v>27</v>
      </c>
      <c r="D20" t="s">
        <v>42</v>
      </c>
      <c r="E20" s="6">
        <v>57138.149376000001</v>
      </c>
      <c r="F20" s="8">
        <v>482250.83200000005</v>
      </c>
    </row>
    <row r="21" spans="1:6" x14ac:dyDescent="0.35">
      <c r="A21">
        <v>14</v>
      </c>
      <c r="B21" t="s">
        <v>28</v>
      </c>
      <c r="C21" t="s">
        <v>32</v>
      </c>
      <c r="D21" t="s">
        <v>42</v>
      </c>
      <c r="E21" s="6">
        <v>263597.672448</v>
      </c>
      <c r="F21" s="8">
        <v>2224786.7360000005</v>
      </c>
    </row>
    <row r="22" spans="1:6" x14ac:dyDescent="0.35">
      <c r="A22">
        <v>20</v>
      </c>
      <c r="B22" t="s">
        <v>28</v>
      </c>
      <c r="C22" t="s">
        <v>29</v>
      </c>
      <c r="D22" t="s">
        <v>42</v>
      </c>
      <c r="E22" s="6">
        <v>238543.40505600002</v>
      </c>
      <c r="F22" s="8">
        <v>2013326.5920000002</v>
      </c>
    </row>
    <row r="23" spans="1:6" hidden="1" x14ac:dyDescent="0.35">
      <c r="A23">
        <v>0</v>
      </c>
      <c r="B23" t="s">
        <v>15</v>
      </c>
      <c r="C23" t="s">
        <v>17</v>
      </c>
      <c r="D23" t="s">
        <v>42</v>
      </c>
      <c r="E23" s="6">
        <v>133176.43468800001</v>
      </c>
      <c r="F23" s="8">
        <v>1124020.4160000002</v>
      </c>
    </row>
    <row r="24" spans="1:6" x14ac:dyDescent="0.35">
      <c r="A24">
        <v>1</v>
      </c>
      <c r="B24" t="s">
        <v>15</v>
      </c>
      <c r="C24" t="s">
        <v>45</v>
      </c>
      <c r="D24" t="s">
        <v>42</v>
      </c>
      <c r="E24" s="6">
        <v>106783.193088</v>
      </c>
      <c r="F24" s="8">
        <v>901259.21600000013</v>
      </c>
    </row>
    <row r="25" spans="1:6" hidden="1" x14ac:dyDescent="0.35">
      <c r="A25">
        <v>0</v>
      </c>
      <c r="B25" t="s">
        <v>15</v>
      </c>
      <c r="C25" t="s">
        <v>44</v>
      </c>
      <c r="D25" t="s">
        <v>42</v>
      </c>
      <c r="E25" s="6">
        <v>222243.96902400002</v>
      </c>
      <c r="F25" s="8">
        <v>1875757.9680000003</v>
      </c>
    </row>
    <row r="26" spans="1:6" hidden="1" x14ac:dyDescent="0.35">
      <c r="A26">
        <v>0</v>
      </c>
      <c r="B26" t="s">
        <v>15</v>
      </c>
      <c r="C26" t="s">
        <v>47</v>
      </c>
      <c r="D26" t="s">
        <v>42</v>
      </c>
      <c r="E26" s="6">
        <v>271013.52960000001</v>
      </c>
      <c r="F26" s="8">
        <v>2287377.2000000002</v>
      </c>
    </row>
    <row r="27" spans="1:6" hidden="1" x14ac:dyDescent="0.35">
      <c r="A27">
        <v>0</v>
      </c>
      <c r="B27" t="s">
        <v>15</v>
      </c>
      <c r="C27" t="s">
        <v>31</v>
      </c>
      <c r="D27" t="s">
        <v>42</v>
      </c>
      <c r="E27" s="6">
        <v>274644.20966400002</v>
      </c>
      <c r="F27" s="8">
        <v>2318020.4480000003</v>
      </c>
    </row>
    <row r="28" spans="1:6" x14ac:dyDescent="0.35">
      <c r="A28">
        <v>60</v>
      </c>
      <c r="B28" t="s">
        <v>39</v>
      </c>
      <c r="C28" t="s">
        <v>28</v>
      </c>
      <c r="D28" t="s">
        <v>42</v>
      </c>
      <c r="E28" s="6">
        <v>27011.229696000002</v>
      </c>
      <c r="F28" s="8">
        <v>227977.07200000004</v>
      </c>
    </row>
    <row r="29" spans="1:6" hidden="1" x14ac:dyDescent="0.35">
      <c r="A29">
        <v>0</v>
      </c>
      <c r="B29" t="s">
        <v>39</v>
      </c>
      <c r="C29" t="s">
        <v>27</v>
      </c>
      <c r="D29" t="s">
        <v>41</v>
      </c>
      <c r="E29" s="6">
        <v>305698.11148800002</v>
      </c>
      <c r="F29" s="8">
        <v>74081.279999999999</v>
      </c>
    </row>
    <row r="30" spans="1:6" x14ac:dyDescent="0.35">
      <c r="A30">
        <v>84</v>
      </c>
      <c r="B30" t="s">
        <v>39</v>
      </c>
      <c r="C30" t="s">
        <v>27</v>
      </c>
      <c r="D30" t="s">
        <v>42</v>
      </c>
      <c r="E30" s="6">
        <v>80518.699008000011</v>
      </c>
      <c r="F30" s="8">
        <v>679584.65600000008</v>
      </c>
    </row>
    <row r="31" spans="1:6" hidden="1" x14ac:dyDescent="0.35">
      <c r="A31">
        <v>0</v>
      </c>
      <c r="B31" t="s">
        <v>39</v>
      </c>
      <c r="C31" t="s">
        <v>26</v>
      </c>
      <c r="D31" t="s">
        <v>41</v>
      </c>
      <c r="E31" s="6">
        <v>844068.74112000002</v>
      </c>
      <c r="F31" s="8">
        <v>204547.20000000001</v>
      </c>
    </row>
    <row r="32" spans="1:6" hidden="1" x14ac:dyDescent="0.35">
      <c r="A32">
        <v>0</v>
      </c>
      <c r="B32" t="s">
        <v>39</v>
      </c>
      <c r="C32" t="s">
        <v>31</v>
      </c>
      <c r="D32" t="s">
        <v>42</v>
      </c>
      <c r="E32" s="6">
        <v>269571.55737600004</v>
      </c>
      <c r="F32" s="8">
        <v>2275206.8320000004</v>
      </c>
    </row>
    <row r="33" spans="1:6" hidden="1" x14ac:dyDescent="0.35">
      <c r="A33">
        <v>0</v>
      </c>
      <c r="B33" t="s">
        <v>45</v>
      </c>
      <c r="C33" t="s">
        <v>15</v>
      </c>
      <c r="D33" t="s">
        <v>42</v>
      </c>
      <c r="E33" s="6">
        <v>106783.193088</v>
      </c>
      <c r="F33" s="8">
        <v>901259.21600000013</v>
      </c>
    </row>
    <row r="34" spans="1:6" hidden="1" x14ac:dyDescent="0.35">
      <c r="A34">
        <v>0</v>
      </c>
      <c r="B34" t="s">
        <v>45</v>
      </c>
      <c r="C34" t="s">
        <v>44</v>
      </c>
      <c r="D34" t="s">
        <v>42</v>
      </c>
      <c r="E34" s="6">
        <v>194254.258176</v>
      </c>
      <c r="F34" s="8">
        <v>1639522.4320000003</v>
      </c>
    </row>
    <row r="35" spans="1:6" hidden="1" x14ac:dyDescent="0.35">
      <c r="A35">
        <v>0</v>
      </c>
      <c r="B35" t="s">
        <v>45</v>
      </c>
      <c r="C35" t="s">
        <v>47</v>
      </c>
      <c r="D35" t="s">
        <v>42</v>
      </c>
      <c r="E35" s="6">
        <v>211892.668416</v>
      </c>
      <c r="F35" s="8">
        <v>1788392.1120000002</v>
      </c>
    </row>
    <row r="36" spans="1:6" hidden="1" x14ac:dyDescent="0.35">
      <c r="A36">
        <v>0</v>
      </c>
      <c r="B36" t="s">
        <v>44</v>
      </c>
      <c r="C36" t="s">
        <v>15</v>
      </c>
      <c r="D36" t="s">
        <v>42</v>
      </c>
      <c r="E36" s="6">
        <v>222243.96902400002</v>
      </c>
      <c r="F36" s="8">
        <v>1875757.9680000003</v>
      </c>
    </row>
    <row r="37" spans="1:6" x14ac:dyDescent="0.35">
      <c r="A37">
        <v>4</v>
      </c>
      <c r="B37" t="s">
        <v>44</v>
      </c>
      <c r="C37" t="s">
        <v>45</v>
      </c>
      <c r="D37" t="s">
        <v>42</v>
      </c>
      <c r="E37" s="6">
        <v>194254.258176</v>
      </c>
      <c r="F37" s="8">
        <v>1639522.4320000003</v>
      </c>
    </row>
    <row r="38" spans="1:6" x14ac:dyDescent="0.35">
      <c r="A38">
        <v>11</v>
      </c>
      <c r="B38" t="s">
        <v>44</v>
      </c>
      <c r="C38" t="s">
        <v>47</v>
      </c>
      <c r="D38" t="s">
        <v>42</v>
      </c>
      <c r="E38" s="6">
        <v>349549.51680000004</v>
      </c>
      <c r="F38" s="8">
        <v>2950227.6000000006</v>
      </c>
    </row>
    <row r="39" spans="1:6" x14ac:dyDescent="0.35">
      <c r="A39">
        <v>4</v>
      </c>
      <c r="B39" t="s">
        <v>44</v>
      </c>
      <c r="C39" t="s">
        <v>31</v>
      </c>
      <c r="D39" t="s">
        <v>42</v>
      </c>
      <c r="E39" s="6">
        <v>359334.32832000003</v>
      </c>
      <c r="F39" s="8">
        <v>3032812.24</v>
      </c>
    </row>
    <row r="40" spans="1:6" hidden="1" x14ac:dyDescent="0.35">
      <c r="A40">
        <v>0</v>
      </c>
      <c r="B40" t="s">
        <v>47</v>
      </c>
      <c r="C40" t="s">
        <v>14</v>
      </c>
      <c r="D40" t="s">
        <v>42</v>
      </c>
      <c r="E40" s="6">
        <v>255229.08364800003</v>
      </c>
      <c r="F40" s="8">
        <v>2154155.1360000004</v>
      </c>
    </row>
    <row r="41" spans="1:6" hidden="1" x14ac:dyDescent="0.35">
      <c r="A41">
        <v>0</v>
      </c>
      <c r="B41" t="s">
        <v>47</v>
      </c>
      <c r="C41" t="s">
        <v>15</v>
      </c>
      <c r="D41" t="s">
        <v>42</v>
      </c>
      <c r="E41" s="6">
        <v>271013.52960000001</v>
      </c>
      <c r="F41" s="8">
        <v>2287377.2000000002</v>
      </c>
    </row>
    <row r="42" spans="1:6" hidden="1" x14ac:dyDescent="0.35">
      <c r="A42">
        <v>0</v>
      </c>
      <c r="B42" t="s">
        <v>47</v>
      </c>
      <c r="C42" t="s">
        <v>45</v>
      </c>
      <c r="D42" t="s">
        <v>42</v>
      </c>
      <c r="E42" s="6">
        <v>211892.668416</v>
      </c>
      <c r="F42" s="8">
        <v>1788392.1120000002</v>
      </c>
    </row>
    <row r="43" spans="1:6" hidden="1" x14ac:dyDescent="0.35">
      <c r="A43">
        <v>0</v>
      </c>
      <c r="B43" t="s">
        <v>47</v>
      </c>
      <c r="C43" t="s">
        <v>44</v>
      </c>
      <c r="D43" t="s">
        <v>42</v>
      </c>
      <c r="E43" s="6">
        <v>349549.51680000004</v>
      </c>
      <c r="F43" s="8">
        <v>2950227.6000000006</v>
      </c>
    </row>
    <row r="44" spans="1:6" hidden="1" x14ac:dyDescent="0.35">
      <c r="A44">
        <v>0</v>
      </c>
      <c r="B44" t="s">
        <v>47</v>
      </c>
      <c r="C44" t="s">
        <v>25</v>
      </c>
      <c r="D44" t="s">
        <v>41</v>
      </c>
      <c r="E44" s="6">
        <v>106396.950528</v>
      </c>
      <c r="F44" s="8">
        <v>25783.68</v>
      </c>
    </row>
    <row r="45" spans="1:6" hidden="1" x14ac:dyDescent="0.35">
      <c r="A45">
        <v>0</v>
      </c>
      <c r="B45" t="s">
        <v>47</v>
      </c>
      <c r="C45" t="s">
        <v>25</v>
      </c>
      <c r="D45" t="s">
        <v>42</v>
      </c>
      <c r="E45" s="6">
        <v>108637.157376</v>
      </c>
      <c r="F45" s="8">
        <v>916906.83200000017</v>
      </c>
    </row>
    <row r="46" spans="1:6" hidden="1" x14ac:dyDescent="0.35">
      <c r="A46">
        <v>0</v>
      </c>
      <c r="B46" t="s">
        <v>47</v>
      </c>
      <c r="C46" t="s">
        <v>16</v>
      </c>
      <c r="D46" t="s">
        <v>41</v>
      </c>
      <c r="E46" s="6">
        <v>47482.085376000003</v>
      </c>
      <c r="F46" s="8">
        <v>11506.56</v>
      </c>
    </row>
    <row r="47" spans="1:6" hidden="1" x14ac:dyDescent="0.35">
      <c r="A47">
        <v>0</v>
      </c>
      <c r="B47" t="s">
        <v>47</v>
      </c>
      <c r="C47" t="s">
        <v>18</v>
      </c>
      <c r="D47" t="s">
        <v>42</v>
      </c>
      <c r="E47" s="6">
        <v>286308.73497600004</v>
      </c>
      <c r="F47" s="8">
        <v>2416470.0320000001</v>
      </c>
    </row>
    <row r="48" spans="1:6" hidden="1" x14ac:dyDescent="0.35">
      <c r="A48">
        <v>0</v>
      </c>
      <c r="B48" t="s">
        <v>27</v>
      </c>
      <c r="C48" t="s">
        <v>17</v>
      </c>
      <c r="D48" t="s">
        <v>42</v>
      </c>
      <c r="E48" s="6">
        <v>70579.390464000011</v>
      </c>
      <c r="F48" s="8">
        <v>595696.04800000007</v>
      </c>
    </row>
    <row r="49" spans="1:6" hidden="1" x14ac:dyDescent="0.35">
      <c r="A49">
        <v>0</v>
      </c>
      <c r="B49" t="s">
        <v>27</v>
      </c>
      <c r="C49" t="s">
        <v>28</v>
      </c>
      <c r="D49" t="s">
        <v>42</v>
      </c>
      <c r="E49" s="6">
        <v>57138.149376000001</v>
      </c>
      <c r="F49" s="8">
        <v>482250.83200000005</v>
      </c>
    </row>
    <row r="50" spans="1:6" hidden="1" x14ac:dyDescent="0.35">
      <c r="A50">
        <v>0</v>
      </c>
      <c r="B50" t="s">
        <v>27</v>
      </c>
      <c r="C50" t="s">
        <v>39</v>
      </c>
      <c r="D50" t="s">
        <v>41</v>
      </c>
      <c r="E50" s="6">
        <v>305698.11148800002</v>
      </c>
      <c r="F50" s="8">
        <v>74081.279999999999</v>
      </c>
    </row>
    <row r="51" spans="1:6" hidden="1" x14ac:dyDescent="0.35">
      <c r="A51">
        <v>0</v>
      </c>
      <c r="B51" t="s">
        <v>27</v>
      </c>
      <c r="C51" t="s">
        <v>39</v>
      </c>
      <c r="D51" t="s">
        <v>42</v>
      </c>
      <c r="E51" s="6">
        <v>80518.699008000011</v>
      </c>
      <c r="F51" s="8">
        <v>679584.65600000008</v>
      </c>
    </row>
    <row r="52" spans="1:6" hidden="1" x14ac:dyDescent="0.35">
      <c r="A52">
        <v>0</v>
      </c>
      <c r="B52" t="s">
        <v>27</v>
      </c>
      <c r="C52" t="s">
        <v>32</v>
      </c>
      <c r="D52" t="s">
        <v>42</v>
      </c>
      <c r="E52" s="6">
        <v>323310.77222400001</v>
      </c>
      <c r="F52" s="8">
        <v>2728770.3680000002</v>
      </c>
    </row>
    <row r="53" spans="1:6" hidden="1" x14ac:dyDescent="0.35">
      <c r="A53">
        <v>0</v>
      </c>
      <c r="B53" t="s">
        <v>32</v>
      </c>
      <c r="C53" t="s">
        <v>17</v>
      </c>
      <c r="D53" t="s">
        <v>42</v>
      </c>
      <c r="E53" s="6">
        <v>383950.85414400004</v>
      </c>
      <c r="F53" s="8">
        <v>3240577.8080000007</v>
      </c>
    </row>
    <row r="54" spans="1:6" hidden="1" x14ac:dyDescent="0.35">
      <c r="A54">
        <v>0</v>
      </c>
      <c r="B54" t="s">
        <v>32</v>
      </c>
      <c r="C54" t="s">
        <v>28</v>
      </c>
      <c r="D54" t="s">
        <v>42</v>
      </c>
      <c r="E54" s="6">
        <v>263597.672448</v>
      </c>
      <c r="F54" s="8">
        <v>2224786.7360000005</v>
      </c>
    </row>
    <row r="55" spans="1:6" hidden="1" x14ac:dyDescent="0.35">
      <c r="A55">
        <v>0</v>
      </c>
      <c r="B55" t="s">
        <v>32</v>
      </c>
      <c r="C55" t="s">
        <v>27</v>
      </c>
      <c r="D55" t="s">
        <v>42</v>
      </c>
      <c r="E55" s="6">
        <v>323310.77222400001</v>
      </c>
      <c r="F55" s="8">
        <v>2728770.3680000002</v>
      </c>
    </row>
    <row r="56" spans="1:6" hidden="1" x14ac:dyDescent="0.35">
      <c r="A56">
        <v>0</v>
      </c>
      <c r="B56" t="s">
        <v>32</v>
      </c>
      <c r="C56" t="s">
        <v>30</v>
      </c>
      <c r="D56" t="s">
        <v>41</v>
      </c>
      <c r="E56" s="6">
        <v>471215.92320000002</v>
      </c>
      <c r="F56" s="8">
        <v>114192</v>
      </c>
    </row>
    <row r="57" spans="1:6" hidden="1" x14ac:dyDescent="0.35">
      <c r="A57">
        <v>0</v>
      </c>
      <c r="B57" t="s">
        <v>32</v>
      </c>
      <c r="C57" t="s">
        <v>19</v>
      </c>
      <c r="D57" t="s">
        <v>41</v>
      </c>
      <c r="E57" s="6">
        <v>401074.27430400002</v>
      </c>
      <c r="F57" s="8">
        <v>97194.240000000005</v>
      </c>
    </row>
    <row r="58" spans="1:6" hidden="1" x14ac:dyDescent="0.35">
      <c r="A58">
        <v>0</v>
      </c>
      <c r="B58" t="s">
        <v>32</v>
      </c>
      <c r="C58" t="s">
        <v>29</v>
      </c>
      <c r="D58" t="s">
        <v>41</v>
      </c>
      <c r="E58" s="6">
        <v>188177.37523200002</v>
      </c>
      <c r="F58" s="8">
        <v>45601.919999999998</v>
      </c>
    </row>
    <row r="59" spans="1:6" hidden="1" x14ac:dyDescent="0.35">
      <c r="A59">
        <v>0</v>
      </c>
      <c r="B59" t="s">
        <v>32</v>
      </c>
      <c r="C59" t="s">
        <v>29</v>
      </c>
      <c r="D59" t="s">
        <v>42</v>
      </c>
      <c r="E59" s="6">
        <v>59610.101760000005</v>
      </c>
      <c r="F59" s="8">
        <v>503114.32000000007</v>
      </c>
    </row>
    <row r="60" spans="1:6" hidden="1" x14ac:dyDescent="0.35">
      <c r="A60">
        <v>0</v>
      </c>
      <c r="B60" t="s">
        <v>32</v>
      </c>
      <c r="C60" t="s">
        <v>31</v>
      </c>
      <c r="D60" t="s">
        <v>42</v>
      </c>
      <c r="E60" s="6">
        <v>341953.41312000004</v>
      </c>
      <c r="F60" s="8">
        <v>2886115.8400000003</v>
      </c>
    </row>
    <row r="61" spans="1:6" hidden="1" x14ac:dyDescent="0.35">
      <c r="A61">
        <v>0</v>
      </c>
      <c r="B61" t="s">
        <v>32</v>
      </c>
      <c r="C61" t="s">
        <v>18</v>
      </c>
      <c r="D61" t="s">
        <v>41</v>
      </c>
      <c r="E61" s="6">
        <v>319499.84563200001</v>
      </c>
      <c r="F61" s="8">
        <v>77425.919999999998</v>
      </c>
    </row>
    <row r="62" spans="1:6" hidden="1" x14ac:dyDescent="0.35">
      <c r="A62">
        <v>0</v>
      </c>
      <c r="B62" t="s">
        <v>25</v>
      </c>
      <c r="C62" t="s">
        <v>14</v>
      </c>
      <c r="D62" t="s">
        <v>42</v>
      </c>
      <c r="E62" s="6">
        <v>285973.99142400001</v>
      </c>
      <c r="F62" s="8">
        <v>2413644.7680000002</v>
      </c>
    </row>
    <row r="63" spans="1:6" x14ac:dyDescent="0.35">
      <c r="A63">
        <v>31</v>
      </c>
      <c r="B63" t="s">
        <v>25</v>
      </c>
      <c r="C63" t="s">
        <v>47</v>
      </c>
      <c r="D63" t="s">
        <v>41</v>
      </c>
      <c r="E63" s="6">
        <v>106396.950528</v>
      </c>
      <c r="F63" s="8">
        <v>25783.68</v>
      </c>
    </row>
    <row r="64" spans="1:6" hidden="1" x14ac:dyDescent="0.35">
      <c r="A64">
        <v>0</v>
      </c>
      <c r="B64" t="s">
        <v>25</v>
      </c>
      <c r="C64" t="s">
        <v>47</v>
      </c>
      <c r="D64" t="s">
        <v>42</v>
      </c>
      <c r="E64" s="6">
        <v>108637.157376</v>
      </c>
      <c r="F64" s="8">
        <v>916906.83200000017</v>
      </c>
    </row>
    <row r="65" spans="1:6" hidden="1" x14ac:dyDescent="0.35">
      <c r="A65">
        <v>0</v>
      </c>
      <c r="B65" t="s">
        <v>25</v>
      </c>
      <c r="C65" t="s">
        <v>30</v>
      </c>
      <c r="D65" t="s">
        <v>42</v>
      </c>
      <c r="E65" s="6">
        <v>175354.12224000003</v>
      </c>
      <c r="F65" s="8">
        <v>1480003.6800000002</v>
      </c>
    </row>
    <row r="66" spans="1:6" x14ac:dyDescent="0.35">
      <c r="A66">
        <v>80</v>
      </c>
      <c r="B66" t="s">
        <v>25</v>
      </c>
      <c r="C66" t="s">
        <v>16</v>
      </c>
      <c r="D66" t="s">
        <v>41</v>
      </c>
      <c r="E66" s="6">
        <v>94037.188608000011</v>
      </c>
      <c r="F66" s="8">
        <v>22788.48</v>
      </c>
    </row>
    <row r="67" spans="1:6" hidden="1" x14ac:dyDescent="0.35">
      <c r="A67">
        <v>0</v>
      </c>
      <c r="B67" t="s">
        <v>25</v>
      </c>
      <c r="C67" t="s">
        <v>19</v>
      </c>
      <c r="D67" t="s">
        <v>42</v>
      </c>
      <c r="E67" s="6">
        <v>177697.32710400003</v>
      </c>
      <c r="F67" s="8">
        <v>1499780.5280000002</v>
      </c>
    </row>
    <row r="68" spans="1:6" hidden="1" x14ac:dyDescent="0.35">
      <c r="A68">
        <v>0</v>
      </c>
      <c r="B68" t="s">
        <v>25</v>
      </c>
      <c r="C68" t="s">
        <v>18</v>
      </c>
      <c r="D68" t="s">
        <v>42</v>
      </c>
      <c r="E68" s="6">
        <v>267537.34656000003</v>
      </c>
      <c r="F68" s="8">
        <v>2258037.9200000004</v>
      </c>
    </row>
    <row r="69" spans="1:6" hidden="1" x14ac:dyDescent="0.35">
      <c r="A69">
        <v>0</v>
      </c>
      <c r="B69" t="s">
        <v>30</v>
      </c>
      <c r="C69" t="s">
        <v>32</v>
      </c>
      <c r="D69" t="s">
        <v>41</v>
      </c>
      <c r="E69" s="6">
        <v>471215.92320000002</v>
      </c>
      <c r="F69" s="8">
        <v>114192</v>
      </c>
    </row>
    <row r="70" spans="1:6" hidden="1" x14ac:dyDescent="0.35">
      <c r="A70">
        <v>0</v>
      </c>
      <c r="B70" t="s">
        <v>30</v>
      </c>
      <c r="C70" t="s">
        <v>25</v>
      </c>
      <c r="D70" t="s">
        <v>42</v>
      </c>
      <c r="E70" s="6">
        <v>175354.12224000003</v>
      </c>
      <c r="F70" s="8">
        <v>1480003.6800000002</v>
      </c>
    </row>
    <row r="71" spans="1:6" hidden="1" x14ac:dyDescent="0.35">
      <c r="A71">
        <v>0</v>
      </c>
      <c r="B71" t="s">
        <v>30</v>
      </c>
      <c r="C71" t="s">
        <v>19</v>
      </c>
      <c r="D71" t="s">
        <v>41</v>
      </c>
      <c r="E71" s="6">
        <v>192503.29190400001</v>
      </c>
      <c r="F71" s="8">
        <v>46650.239999999998</v>
      </c>
    </row>
    <row r="72" spans="1:6" hidden="1" x14ac:dyDescent="0.35">
      <c r="A72">
        <v>0</v>
      </c>
      <c r="B72" t="s">
        <v>30</v>
      </c>
      <c r="C72" t="s">
        <v>19</v>
      </c>
      <c r="D72" t="s">
        <v>42</v>
      </c>
      <c r="E72" s="6">
        <v>105238.222848</v>
      </c>
      <c r="F72" s="8">
        <v>888219.53600000008</v>
      </c>
    </row>
    <row r="73" spans="1:6" hidden="1" x14ac:dyDescent="0.35">
      <c r="A73">
        <v>0</v>
      </c>
      <c r="B73" t="s">
        <v>30</v>
      </c>
      <c r="C73" t="s">
        <v>29</v>
      </c>
      <c r="D73" t="s">
        <v>41</v>
      </c>
      <c r="E73" s="6">
        <v>487386.61171200004</v>
      </c>
      <c r="F73" s="8">
        <v>118110.72</v>
      </c>
    </row>
    <row r="74" spans="1:6" hidden="1" x14ac:dyDescent="0.35">
      <c r="A74">
        <v>0</v>
      </c>
      <c r="B74" t="s">
        <v>26</v>
      </c>
      <c r="C74" t="s">
        <v>39</v>
      </c>
      <c r="D74" t="s">
        <v>41</v>
      </c>
      <c r="E74" s="6">
        <v>844068.74112000002</v>
      </c>
      <c r="F74" s="8">
        <v>204547.20000000001</v>
      </c>
    </row>
    <row r="75" spans="1:6" hidden="1" x14ac:dyDescent="0.35">
      <c r="A75">
        <v>0</v>
      </c>
      <c r="B75" t="s">
        <v>26</v>
      </c>
      <c r="C75" t="s">
        <v>16</v>
      </c>
      <c r="D75" t="s">
        <v>41</v>
      </c>
      <c r="E75" s="6">
        <v>243178.315776</v>
      </c>
      <c r="F75" s="8">
        <v>58930.560000000005</v>
      </c>
    </row>
    <row r="76" spans="1:6" hidden="1" x14ac:dyDescent="0.35">
      <c r="A76">
        <v>0</v>
      </c>
      <c r="B76" t="s">
        <v>16</v>
      </c>
      <c r="C76" t="s">
        <v>47</v>
      </c>
      <c r="D76" t="s">
        <v>41</v>
      </c>
      <c r="E76" s="6">
        <v>47482.085376000003</v>
      </c>
      <c r="F76" s="8">
        <v>11506.56</v>
      </c>
    </row>
    <row r="77" spans="1:6" hidden="1" x14ac:dyDescent="0.35">
      <c r="A77">
        <v>0</v>
      </c>
      <c r="B77" t="s">
        <v>16</v>
      </c>
      <c r="C77" t="s">
        <v>25</v>
      </c>
      <c r="D77" t="s">
        <v>41</v>
      </c>
      <c r="E77" s="6">
        <v>94037.188608000011</v>
      </c>
      <c r="F77" s="8">
        <v>22788.48</v>
      </c>
    </row>
    <row r="78" spans="1:6" x14ac:dyDescent="0.35">
      <c r="A78">
        <v>9</v>
      </c>
      <c r="B78" t="s">
        <v>16</v>
      </c>
      <c r="C78" t="s">
        <v>26</v>
      </c>
      <c r="D78" t="s">
        <v>41</v>
      </c>
      <c r="E78" s="6">
        <v>243178.315776</v>
      </c>
      <c r="F78" s="8">
        <v>58930.560000000005</v>
      </c>
    </row>
    <row r="79" spans="1:6" hidden="1" x14ac:dyDescent="0.35">
      <c r="A79">
        <v>0</v>
      </c>
      <c r="B79" t="s">
        <v>19</v>
      </c>
      <c r="C79" t="s">
        <v>14</v>
      </c>
      <c r="D79" t="s">
        <v>42</v>
      </c>
      <c r="E79" s="6">
        <v>263005.43385600002</v>
      </c>
      <c r="F79" s="8">
        <v>2219788.1920000003</v>
      </c>
    </row>
    <row r="80" spans="1:6" hidden="1" x14ac:dyDescent="0.35">
      <c r="A80">
        <v>0</v>
      </c>
      <c r="B80" t="s">
        <v>19</v>
      </c>
      <c r="C80" t="s">
        <v>32</v>
      </c>
      <c r="D80" t="s">
        <v>41</v>
      </c>
      <c r="E80" s="6">
        <v>401074.27430400002</v>
      </c>
      <c r="F80" s="8">
        <v>97194.240000000005</v>
      </c>
    </row>
    <row r="81" spans="1:6" x14ac:dyDescent="0.35">
      <c r="A81">
        <v>162</v>
      </c>
      <c r="B81" t="s">
        <v>19</v>
      </c>
      <c r="C81" t="s">
        <v>25</v>
      </c>
      <c r="D81" t="s">
        <v>42</v>
      </c>
      <c r="E81" s="6">
        <v>177697.32710400003</v>
      </c>
      <c r="F81" s="8">
        <v>1499780.5280000002</v>
      </c>
    </row>
    <row r="82" spans="1:6" hidden="1" x14ac:dyDescent="0.35">
      <c r="A82">
        <v>0</v>
      </c>
      <c r="B82" t="s">
        <v>19</v>
      </c>
      <c r="C82" t="s">
        <v>30</v>
      </c>
      <c r="D82" t="s">
        <v>41</v>
      </c>
      <c r="E82" s="6">
        <v>192503.29190400001</v>
      </c>
      <c r="F82" s="8">
        <v>46650.239999999998</v>
      </c>
    </row>
    <row r="83" spans="1:6" x14ac:dyDescent="0.35">
      <c r="A83">
        <v>21</v>
      </c>
      <c r="B83" t="s">
        <v>19</v>
      </c>
      <c r="C83" t="s">
        <v>30</v>
      </c>
      <c r="D83" t="s">
        <v>42</v>
      </c>
      <c r="E83" s="6">
        <v>105238.222848</v>
      </c>
      <c r="F83" s="8">
        <v>888219.53600000008</v>
      </c>
    </row>
    <row r="84" spans="1:6" hidden="1" x14ac:dyDescent="0.35">
      <c r="A84">
        <v>0</v>
      </c>
      <c r="B84" t="s">
        <v>19</v>
      </c>
      <c r="C84" t="s">
        <v>29</v>
      </c>
      <c r="D84" t="s">
        <v>41</v>
      </c>
      <c r="E84" s="6">
        <v>482545.70496000006</v>
      </c>
      <c r="F84" s="8">
        <v>116937.60000000001</v>
      </c>
    </row>
    <row r="85" spans="1:6" hidden="1" x14ac:dyDescent="0.35">
      <c r="A85">
        <v>0</v>
      </c>
      <c r="B85" t="s">
        <v>19</v>
      </c>
      <c r="C85" t="s">
        <v>18</v>
      </c>
      <c r="D85" t="s">
        <v>41</v>
      </c>
      <c r="E85" s="6">
        <v>267897.83961600001</v>
      </c>
      <c r="F85" s="8">
        <v>64920.959999999999</v>
      </c>
    </row>
    <row r="86" spans="1:6" hidden="1" x14ac:dyDescent="0.35">
      <c r="A86">
        <v>0</v>
      </c>
      <c r="B86" t="s">
        <v>19</v>
      </c>
      <c r="C86" t="s">
        <v>18</v>
      </c>
      <c r="D86" t="s">
        <v>42</v>
      </c>
      <c r="E86" s="6">
        <v>89788.52044800001</v>
      </c>
      <c r="F86" s="8">
        <v>757822.73600000015</v>
      </c>
    </row>
    <row r="87" spans="1:6" hidden="1" x14ac:dyDescent="0.35">
      <c r="A87">
        <v>0</v>
      </c>
      <c r="B87" t="s">
        <v>29</v>
      </c>
      <c r="C87" t="s">
        <v>28</v>
      </c>
      <c r="D87" t="s">
        <v>42</v>
      </c>
      <c r="E87" s="6">
        <v>238543.40505600002</v>
      </c>
      <c r="F87" s="8">
        <v>2013326.5920000002</v>
      </c>
    </row>
    <row r="88" spans="1:6" hidden="1" x14ac:dyDescent="0.35">
      <c r="A88">
        <v>0</v>
      </c>
      <c r="B88" t="s">
        <v>29</v>
      </c>
      <c r="C88" t="s">
        <v>32</v>
      </c>
      <c r="D88" t="s">
        <v>41</v>
      </c>
      <c r="E88" s="6">
        <v>188177.37523200002</v>
      </c>
      <c r="F88" s="8">
        <v>45601.919999999998</v>
      </c>
    </row>
    <row r="89" spans="1:6" hidden="1" x14ac:dyDescent="0.35">
      <c r="A89">
        <v>0</v>
      </c>
      <c r="B89" t="s">
        <v>29</v>
      </c>
      <c r="C89" t="s">
        <v>32</v>
      </c>
      <c r="D89" t="s">
        <v>42</v>
      </c>
      <c r="E89" s="6">
        <v>59610.101760000005</v>
      </c>
      <c r="F89" s="8">
        <v>503114.32000000007</v>
      </c>
    </row>
    <row r="90" spans="1:6" hidden="1" x14ac:dyDescent="0.35">
      <c r="A90">
        <v>0</v>
      </c>
      <c r="B90" t="s">
        <v>29</v>
      </c>
      <c r="C90" t="s">
        <v>30</v>
      </c>
      <c r="D90" t="s">
        <v>41</v>
      </c>
      <c r="E90" s="6">
        <v>487386.61171200004</v>
      </c>
      <c r="F90" s="8">
        <v>118110.72</v>
      </c>
    </row>
    <row r="91" spans="1:6" hidden="1" x14ac:dyDescent="0.35">
      <c r="A91">
        <v>0</v>
      </c>
      <c r="B91" t="s">
        <v>29</v>
      </c>
      <c r="C91" t="s">
        <v>19</v>
      </c>
      <c r="D91" t="s">
        <v>41</v>
      </c>
      <c r="E91" s="6">
        <v>482545.70496000006</v>
      </c>
      <c r="F91" s="8">
        <v>116937.60000000001</v>
      </c>
    </row>
    <row r="92" spans="1:6" hidden="1" x14ac:dyDescent="0.35">
      <c r="A92">
        <v>0</v>
      </c>
      <c r="B92" t="s">
        <v>31</v>
      </c>
      <c r="C92" t="s">
        <v>17</v>
      </c>
      <c r="D92" t="s">
        <v>42</v>
      </c>
      <c r="E92" s="6">
        <v>259606.49932800001</v>
      </c>
      <c r="F92" s="8">
        <v>2191100.8960000002</v>
      </c>
    </row>
    <row r="93" spans="1:6" hidden="1" x14ac:dyDescent="0.35">
      <c r="A93">
        <v>0</v>
      </c>
      <c r="B93" t="s">
        <v>31</v>
      </c>
      <c r="C93" t="s">
        <v>15</v>
      </c>
      <c r="D93" t="s">
        <v>42</v>
      </c>
      <c r="E93" s="6">
        <v>274644.20966400002</v>
      </c>
      <c r="F93" s="8">
        <v>2318020.4480000003</v>
      </c>
    </row>
    <row r="94" spans="1:6" hidden="1" x14ac:dyDescent="0.35">
      <c r="A94">
        <v>0</v>
      </c>
      <c r="B94" t="s">
        <v>31</v>
      </c>
      <c r="C94" t="s">
        <v>39</v>
      </c>
      <c r="D94" t="s">
        <v>42</v>
      </c>
      <c r="E94" s="6">
        <v>269571.55737600004</v>
      </c>
      <c r="F94" s="8">
        <v>2275206.8320000004</v>
      </c>
    </row>
    <row r="95" spans="1:6" hidden="1" x14ac:dyDescent="0.35">
      <c r="A95">
        <v>0</v>
      </c>
      <c r="B95" t="s">
        <v>31</v>
      </c>
      <c r="C95" t="s">
        <v>44</v>
      </c>
      <c r="D95" t="s">
        <v>42</v>
      </c>
      <c r="E95" s="6">
        <v>359334.32832000003</v>
      </c>
      <c r="F95" s="8">
        <v>3032812.24</v>
      </c>
    </row>
    <row r="96" spans="1:6" hidden="1" x14ac:dyDescent="0.35">
      <c r="A96">
        <v>0</v>
      </c>
      <c r="B96" t="s">
        <v>31</v>
      </c>
      <c r="C96" t="s">
        <v>32</v>
      </c>
      <c r="D96" t="s">
        <v>42</v>
      </c>
      <c r="E96" s="6">
        <v>341953.41312000004</v>
      </c>
      <c r="F96" s="8">
        <v>2886115.8400000003</v>
      </c>
    </row>
    <row r="97" spans="1:16" hidden="1" x14ac:dyDescent="0.35">
      <c r="A97">
        <v>0</v>
      </c>
      <c r="B97" t="s">
        <v>18</v>
      </c>
      <c r="C97" t="s">
        <v>14</v>
      </c>
      <c r="D97" t="s">
        <v>42</v>
      </c>
      <c r="E97" s="6">
        <v>334022.56588800001</v>
      </c>
      <c r="F97" s="8">
        <v>2819178.8160000006</v>
      </c>
    </row>
    <row r="98" spans="1:16" hidden="1" x14ac:dyDescent="0.35">
      <c r="A98">
        <v>0</v>
      </c>
      <c r="B98" t="s">
        <v>18</v>
      </c>
      <c r="C98" t="s">
        <v>47</v>
      </c>
      <c r="D98" t="s">
        <v>42</v>
      </c>
      <c r="E98" s="6">
        <v>286308.73497600004</v>
      </c>
      <c r="F98" s="8">
        <v>2416470.0320000001</v>
      </c>
    </row>
    <row r="99" spans="1:16" x14ac:dyDescent="0.35">
      <c r="A99">
        <v>7</v>
      </c>
      <c r="B99" t="s">
        <v>18</v>
      </c>
      <c r="C99" t="s">
        <v>32</v>
      </c>
      <c r="D99" t="s">
        <v>41</v>
      </c>
      <c r="E99" s="6">
        <v>319499.84563200001</v>
      </c>
      <c r="F99" s="8">
        <v>77425.919999999998</v>
      </c>
    </row>
    <row r="100" spans="1:16" hidden="1" x14ac:dyDescent="0.35">
      <c r="A100">
        <v>0</v>
      </c>
      <c r="B100" t="s">
        <v>18</v>
      </c>
      <c r="C100" t="s">
        <v>25</v>
      </c>
      <c r="D100" t="s">
        <v>42</v>
      </c>
      <c r="E100" s="6">
        <v>267537.34656000003</v>
      </c>
      <c r="F100" s="8">
        <v>2258037.9200000004</v>
      </c>
    </row>
    <row r="101" spans="1:16" x14ac:dyDescent="0.35">
      <c r="A101">
        <v>58</v>
      </c>
      <c r="B101" t="s">
        <v>18</v>
      </c>
      <c r="C101" t="s">
        <v>19</v>
      </c>
      <c r="D101" t="s">
        <v>41</v>
      </c>
      <c r="E101" s="6">
        <v>267897.83961600001</v>
      </c>
      <c r="F101" s="8">
        <v>64920.959999999999</v>
      </c>
    </row>
    <row r="102" spans="1:16" hidden="1" x14ac:dyDescent="0.35">
      <c r="A102">
        <v>0</v>
      </c>
      <c r="B102" t="s">
        <v>18</v>
      </c>
      <c r="C102" t="s">
        <v>19</v>
      </c>
      <c r="D102" t="s">
        <v>42</v>
      </c>
      <c r="E102" s="6">
        <v>89788.52044800001</v>
      </c>
      <c r="F102" s="8">
        <v>757822.73600000015</v>
      </c>
    </row>
    <row r="104" spans="1:16" x14ac:dyDescent="0.35">
      <c r="G104" t="s">
        <v>53</v>
      </c>
      <c r="H104" t="s">
        <v>54</v>
      </c>
      <c r="I104" t="s">
        <v>55</v>
      </c>
      <c r="J104" t="s">
        <v>60</v>
      </c>
      <c r="N104" t="s">
        <v>4</v>
      </c>
      <c r="O104" t="s">
        <v>5</v>
      </c>
      <c r="P104" t="s">
        <v>6</v>
      </c>
    </row>
    <row r="105" spans="1:16" x14ac:dyDescent="0.35">
      <c r="G105" s="6">
        <f>SUMPRODUCT($A$3:$A$100,E3:E100)</f>
        <v>13017144170.117121</v>
      </c>
      <c r="H105" s="8">
        <f>SUMPRODUCT($A$3:$A$100,F3:F100)</f>
        <v>640032794.6880002</v>
      </c>
      <c r="I105" s="12">
        <f>G105*(1-J105)+H105*J105</f>
        <v>13017144170.117121</v>
      </c>
      <c r="J105">
        <v>0</v>
      </c>
      <c r="N105" t="s">
        <v>59</v>
      </c>
      <c r="O105">
        <f>SUMIF(Nodes3[Destination],N105,Nodes3[Units])-SUMIF(Nodes3[Origin],N105,Nodes3[Units])</f>
        <v>-506</v>
      </c>
      <c r="P105">
        <f>-SUM(_xlfn.ANCHORARRAY(P106))</f>
        <v>-506</v>
      </c>
    </row>
    <row r="106" spans="1:16" x14ac:dyDescent="0.35">
      <c r="G106" s="10">
        <f>G105/ABS($P$105)/1000</f>
        <v>25725.581363867826</v>
      </c>
      <c r="H106" s="8">
        <f>H105/ABS($P$105)/1000</f>
        <v>1264.8869460237158</v>
      </c>
      <c r="I106" t="s">
        <v>56</v>
      </c>
      <c r="N106" t="str" cm="1">
        <f t="array" ref="N106:N123">T3Data!B2:B19</f>
        <v>MUN</v>
      </c>
      <c r="O106">
        <f>SUMIF(Nodes3[Destination],N106,Nodes3[Units])-SUMIF(Nodes3[Origin],N106,Nodes3[Units])</f>
        <v>82</v>
      </c>
      <c r="P106" cm="1">
        <f t="array" ref="P106:P123">T3Data!F2:F19</f>
        <v>82</v>
      </c>
    </row>
    <row r="107" spans="1:16" x14ac:dyDescent="0.35">
      <c r="N107" t="str">
        <v>CHE</v>
      </c>
      <c r="O107">
        <f>SUMIF(Nodes3[Destination],N107,Nodes3[Units])-SUMIF(Nodes3[Origin],N107,Nodes3[Units])</f>
        <v>9</v>
      </c>
      <c r="P107">
        <v>9</v>
      </c>
    </row>
    <row r="108" spans="1:16" x14ac:dyDescent="0.35">
      <c r="N108" t="str">
        <v>BKK</v>
      </c>
      <c r="O108">
        <f>SUMIF(Nodes3[Destination],N108,Nodes3[Units])-SUMIF(Nodes3[Origin],N108,Nodes3[Units])</f>
        <v>9</v>
      </c>
      <c r="P108">
        <v>9</v>
      </c>
    </row>
    <row r="109" spans="1:16" x14ac:dyDescent="0.35">
      <c r="N109" t="str">
        <v>DAL</v>
      </c>
      <c r="O109">
        <f>SUMIF(Nodes3[Destination],N109,Nodes3[Units])-SUMIF(Nodes3[Origin],N109,Nodes3[Units])</f>
        <v>86</v>
      </c>
      <c r="P109">
        <v>86</v>
      </c>
    </row>
    <row r="110" spans="1:16" x14ac:dyDescent="0.35">
      <c r="N110" t="str">
        <v>TAM</v>
      </c>
      <c r="O110">
        <f>SUMIF(Nodes3[Destination],N110,Nodes3[Units])-SUMIF(Nodes3[Origin],N110,Nodes3[Units])</f>
        <v>5</v>
      </c>
      <c r="P110">
        <v>5</v>
      </c>
    </row>
    <row r="111" spans="1:16" x14ac:dyDescent="0.35">
      <c r="N111" t="str">
        <v>SAV</v>
      </c>
      <c r="O111">
        <f>SUMIF(Nodes3[Destination],N111,Nodes3[Units])-SUMIF(Nodes3[Origin],N111,Nodes3[Units])</f>
        <v>20</v>
      </c>
      <c r="P111">
        <v>20</v>
      </c>
    </row>
    <row r="112" spans="1:16" x14ac:dyDescent="0.35">
      <c r="N112" t="str">
        <v>ARA</v>
      </c>
      <c r="O112">
        <f>SUMIF(Nodes3[Destination],N112,Nodes3[Units])-SUMIF(Nodes3[Origin],N112,Nodes3[Units])</f>
        <v>4</v>
      </c>
      <c r="P112">
        <v>4</v>
      </c>
    </row>
    <row r="113" spans="14:16" x14ac:dyDescent="0.35">
      <c r="N113" t="str">
        <v>DUR</v>
      </c>
      <c r="O113">
        <f>SUMIF(Nodes3[Destination],N113,Nodes3[Units])-SUMIF(Nodes3[Origin],N113,Nodes3[Units])</f>
        <v>1</v>
      </c>
      <c r="P113">
        <v>1</v>
      </c>
    </row>
    <row r="114" spans="14:16" x14ac:dyDescent="0.35">
      <c r="N114" t="str">
        <v>GOA</v>
      </c>
      <c r="O114">
        <f>SUMIF(Nodes3[Destination],N114,Nodes3[Units])-SUMIF(Nodes3[Origin],N114,Nodes3[Units])</f>
        <v>48</v>
      </c>
      <c r="P114">
        <v>48</v>
      </c>
    </row>
    <row r="115" spans="14:16" x14ac:dyDescent="0.35">
      <c r="N115" t="str">
        <v>LON</v>
      </c>
      <c r="O115">
        <f>SUMIF(Nodes3[Destination],N115,Nodes3[Units])-SUMIF(Nodes3[Origin],N115,Nodes3[Units])</f>
        <v>51</v>
      </c>
      <c r="P115">
        <v>51</v>
      </c>
    </row>
    <row r="116" spans="14:16" x14ac:dyDescent="0.35">
      <c r="N116" t="str">
        <v>MOS</v>
      </c>
      <c r="O116">
        <f>SUMIF(Nodes3[Destination],N116,Nodes3[Units])-SUMIF(Nodes3[Origin],N116,Nodes3[Units])</f>
        <v>9</v>
      </c>
      <c r="P116">
        <v>9</v>
      </c>
    </row>
    <row r="117" spans="14:16" x14ac:dyDescent="0.35">
      <c r="N117" t="str">
        <v>HKG</v>
      </c>
      <c r="O117">
        <f>SUMIF(Nodes3[Destination],N117,Nodes3[Units])-SUMIF(Nodes3[Origin],N117,Nodes3[Units])</f>
        <v>85</v>
      </c>
      <c r="P117">
        <v>85</v>
      </c>
    </row>
    <row r="118" spans="14:16" x14ac:dyDescent="0.35">
      <c r="N118" t="str">
        <v>BUS</v>
      </c>
      <c r="O118">
        <f>SUMIF(Nodes3[Destination],N118,Nodes3[Units])-SUMIF(Nodes3[Origin],N118,Nodes3[Units])</f>
        <v>26</v>
      </c>
      <c r="P118">
        <v>26</v>
      </c>
    </row>
    <row r="119" spans="14:16" x14ac:dyDescent="0.35">
      <c r="N119" t="str">
        <v>LAX</v>
      </c>
      <c r="O119">
        <f>SUMIF(Nodes3[Destination],N119,Nodes3[Units])-SUMIF(Nodes3[Origin],N119,Nodes3[Units])</f>
        <v>21</v>
      </c>
      <c r="P119">
        <v>21</v>
      </c>
    </row>
    <row r="120" spans="14:16" x14ac:dyDescent="0.35">
      <c r="N120" t="str">
        <v>SEA</v>
      </c>
      <c r="O120">
        <f>SUMIF(Nodes3[Destination],N120,Nodes3[Units])-SUMIF(Nodes3[Origin],N120,Nodes3[Units])</f>
        <v>20</v>
      </c>
      <c r="P120">
        <v>20</v>
      </c>
    </row>
    <row r="121" spans="14:16" x14ac:dyDescent="0.35">
      <c r="N121" t="str">
        <v>MON</v>
      </c>
      <c r="O121">
        <f>SUMIF(Nodes3[Destination],N121,Nodes3[Units])-SUMIF(Nodes3[Origin],N121,Nodes3[Units])</f>
        <v>21</v>
      </c>
      <c r="P121">
        <v>21</v>
      </c>
    </row>
    <row r="122" spans="14:16" x14ac:dyDescent="0.35">
      <c r="N122" t="str">
        <v>SYD</v>
      </c>
      <c r="O122">
        <f>SUMIF(Nodes3[Destination],N122,Nodes3[Units])-SUMIF(Nodes3[Origin],N122,Nodes3[Units])</f>
        <v>4</v>
      </c>
      <c r="P122">
        <v>4</v>
      </c>
    </row>
    <row r="123" spans="14:16" x14ac:dyDescent="0.35">
      <c r="N123" t="str">
        <v>DBI</v>
      </c>
      <c r="O123">
        <f>SUMIF(Nodes3[Destination],N123,Nodes3[Units])-SUMIF(Nodes3[Origin],N123,Nodes3[Units])</f>
        <v>5</v>
      </c>
      <c r="P123">
        <v>5</v>
      </c>
    </row>
  </sheetData>
  <conditionalFormatting sqref="A3:A102">
    <cfRule type="cellIs" dxfId="5" priority="1" operator="greaterThan">
      <formula>0</formula>
    </cfRule>
  </conditionalFormatting>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F66EAF-9669-49FF-BCF4-B60B5014F8F0}">
  <sheetPr codeName="Sheet10">
    <tabColor rgb="FF92D050"/>
  </sheetPr>
  <dimension ref="A2:O123"/>
  <sheetViews>
    <sheetView zoomScale="85" zoomScaleNormal="85" workbookViewId="0">
      <selection activeCell="K2" sqref="K2"/>
    </sheetView>
  </sheetViews>
  <sheetFormatPr defaultColWidth="8.81640625" defaultRowHeight="14" x14ac:dyDescent="0.3"/>
  <cols>
    <col min="1" max="1" width="8.6328125" style="2" bestFit="1" customWidth="1"/>
    <col min="2" max="2" width="9.81640625" style="2" bestFit="1" customWidth="1"/>
    <col min="3" max="3" width="14.81640625" style="2" bestFit="1" customWidth="1"/>
    <col min="4" max="4" width="9.1796875" style="2" bestFit="1" customWidth="1"/>
    <col min="5" max="5" width="16.90625" style="2" bestFit="1" customWidth="1"/>
    <col min="6" max="6" width="14" style="2" bestFit="1" customWidth="1"/>
    <col min="7" max="7" width="21.08984375" style="2" bestFit="1" customWidth="1"/>
    <col min="8" max="8" width="15.81640625" style="2" bestFit="1" customWidth="1"/>
    <col min="9" max="9" width="19.81640625" style="2" bestFit="1" customWidth="1"/>
    <col min="10" max="10" width="19.54296875" style="2" bestFit="1" customWidth="1"/>
    <col min="11" max="11" width="5.453125" style="2" bestFit="1" customWidth="1"/>
    <col min="12" max="12" width="4.54296875" style="2" bestFit="1" customWidth="1"/>
    <col min="13" max="13" width="5.90625" style="2" bestFit="1" customWidth="1"/>
    <col min="14" max="14" width="7.1796875" style="2" bestFit="1" customWidth="1"/>
    <col min="15" max="15" width="8.6328125" style="2" bestFit="1" customWidth="1"/>
    <col min="16" max="16384" width="8.81640625" style="2"/>
  </cols>
  <sheetData>
    <row r="2" spans="1:12" x14ac:dyDescent="0.3">
      <c r="A2" s="2" t="s">
        <v>0</v>
      </c>
      <c r="B2" s="2" t="s">
        <v>1</v>
      </c>
      <c r="C2" s="2" t="s">
        <v>2</v>
      </c>
      <c r="D2" s="2" t="s">
        <v>46</v>
      </c>
      <c r="E2" s="2" t="s">
        <v>3</v>
      </c>
      <c r="F2" s="2" t="s">
        <v>40</v>
      </c>
      <c r="G2" s="2" t="s">
        <v>61</v>
      </c>
      <c r="H2" s="2" t="s">
        <v>63</v>
      </c>
      <c r="I2" s="2" t="s">
        <v>51</v>
      </c>
      <c r="J2" s="2" t="s">
        <v>64</v>
      </c>
      <c r="K2" s="2" t="s">
        <v>62</v>
      </c>
      <c r="L2" s="2" t="s">
        <v>52</v>
      </c>
    </row>
    <row r="3" spans="1:12" x14ac:dyDescent="0.3">
      <c r="A3" s="2">
        <v>156</v>
      </c>
      <c r="B3" s="2" t="s">
        <v>59</v>
      </c>
      <c r="C3" s="2" t="str">
        <f>T3Data!B2</f>
        <v>MUN</v>
      </c>
      <c r="D3" s="2" t="s">
        <v>59</v>
      </c>
      <c r="E3" s="29">
        <f>T3Data!J2</f>
        <v>27554200</v>
      </c>
      <c r="F3" s="30">
        <f>T3Data!L2</f>
        <v>330000</v>
      </c>
      <c r="G3" s="2">
        <v>1</v>
      </c>
      <c r="H3" s="2">
        <v>999</v>
      </c>
      <c r="I3" s="2" cm="1">
        <f t="array" ref="I3:I10">T3Data!M2:M9</f>
        <v>1</v>
      </c>
      <c r="J3" s="2">
        <f t="shared" ref="J3:J10" si="0">G3*H3</f>
        <v>999</v>
      </c>
      <c r="K3" s="2">
        <f t="shared" ref="K3:K10" si="1">G3*I3</f>
        <v>1</v>
      </c>
      <c r="L3" s="2" cm="1">
        <f t="array" ref="L3:L10">T3Data!N2:N9</f>
        <v>210</v>
      </c>
    </row>
    <row r="4" spans="1:12" x14ac:dyDescent="0.3">
      <c r="A4" s="2">
        <v>10</v>
      </c>
      <c r="B4" s="2" t="s">
        <v>59</v>
      </c>
      <c r="C4" s="2" t="str">
        <f>T3Data!B3</f>
        <v>CHE</v>
      </c>
      <c r="D4" s="2" t="s">
        <v>59</v>
      </c>
      <c r="E4" s="29">
        <f>T3Data!J3</f>
        <v>25048600</v>
      </c>
      <c r="F4" s="30">
        <f>T3Data!L3</f>
        <v>330000</v>
      </c>
      <c r="G4" s="2">
        <v>1</v>
      </c>
      <c r="H4" s="2">
        <v>999</v>
      </c>
      <c r="I4" s="2">
        <v>5</v>
      </c>
      <c r="J4" s="2">
        <f t="shared" si="0"/>
        <v>999</v>
      </c>
      <c r="K4" s="2">
        <f t="shared" si="1"/>
        <v>5</v>
      </c>
      <c r="L4" s="2">
        <v>10</v>
      </c>
    </row>
    <row r="5" spans="1:12" x14ac:dyDescent="0.3">
      <c r="A5" s="2">
        <v>10</v>
      </c>
      <c r="B5" s="2" t="s">
        <v>59</v>
      </c>
      <c r="C5" s="2" t="str">
        <f>T3Data!B4</f>
        <v>BKK</v>
      </c>
      <c r="D5" s="2" t="s">
        <v>59</v>
      </c>
      <c r="E5" s="29">
        <f>T3Data!J4</f>
        <v>25232200</v>
      </c>
      <c r="F5" s="30">
        <f>T3Data!L4</f>
        <v>330000</v>
      </c>
      <c r="G5" s="2">
        <v>1</v>
      </c>
      <c r="H5" s="2">
        <v>999</v>
      </c>
      <c r="I5" s="2">
        <v>5</v>
      </c>
      <c r="J5" s="2">
        <f t="shared" si="0"/>
        <v>999</v>
      </c>
      <c r="K5" s="2">
        <f t="shared" si="1"/>
        <v>5</v>
      </c>
      <c r="L5" s="2">
        <v>10</v>
      </c>
    </row>
    <row r="6" spans="1:12" x14ac:dyDescent="0.3">
      <c r="A6" s="2">
        <v>230</v>
      </c>
      <c r="B6" s="2" t="s">
        <v>59</v>
      </c>
      <c r="C6" s="2" t="str">
        <f>T3Data!B5</f>
        <v>DAL</v>
      </c>
      <c r="D6" s="2" t="s">
        <v>59</v>
      </c>
      <c r="E6" s="29">
        <f>T3Data!J5</f>
        <v>25228600</v>
      </c>
      <c r="F6" s="30">
        <f>T3Data!L5</f>
        <v>330000</v>
      </c>
      <c r="G6" s="2">
        <v>1</v>
      </c>
      <c r="H6" s="2">
        <v>999</v>
      </c>
      <c r="I6" s="2">
        <v>5</v>
      </c>
      <c r="J6" s="2">
        <f t="shared" si="0"/>
        <v>999</v>
      </c>
      <c r="K6" s="2">
        <f t="shared" si="1"/>
        <v>5</v>
      </c>
      <c r="L6" s="2">
        <v>230</v>
      </c>
    </row>
    <row r="7" spans="1:12" x14ac:dyDescent="0.3">
      <c r="A7" s="2">
        <v>70</v>
      </c>
      <c r="B7" s="2" t="s">
        <v>59</v>
      </c>
      <c r="C7" s="2" t="str">
        <f>T3Data!B6</f>
        <v>TAM</v>
      </c>
      <c r="D7" s="2" t="s">
        <v>59</v>
      </c>
      <c r="E7" s="29">
        <f>T3Data!J6</f>
        <v>25223200</v>
      </c>
      <c r="F7" s="30">
        <f>T3Data!L6</f>
        <v>330000</v>
      </c>
      <c r="G7" s="2">
        <v>1</v>
      </c>
      <c r="H7" s="2">
        <v>999</v>
      </c>
      <c r="I7" s="2">
        <v>5</v>
      </c>
      <c r="J7" s="2">
        <f t="shared" si="0"/>
        <v>999</v>
      </c>
      <c r="K7" s="2">
        <f t="shared" si="1"/>
        <v>5</v>
      </c>
      <c r="L7" s="2">
        <v>70</v>
      </c>
    </row>
    <row r="8" spans="1:12" x14ac:dyDescent="0.3">
      <c r="A8" s="2">
        <v>17</v>
      </c>
      <c r="B8" s="2" t="s">
        <v>59</v>
      </c>
      <c r="C8" s="2" t="str">
        <f>T3Data!B7</f>
        <v>SAV</v>
      </c>
      <c r="D8" s="2" t="s">
        <v>59</v>
      </c>
      <c r="E8" s="29">
        <f>T3Data!J7</f>
        <v>26305000</v>
      </c>
      <c r="F8" s="30">
        <f>T3Data!L7</f>
        <v>330000</v>
      </c>
      <c r="G8" s="2">
        <v>1</v>
      </c>
      <c r="H8" s="2">
        <v>999</v>
      </c>
      <c r="I8" s="2">
        <v>5</v>
      </c>
      <c r="J8" s="2">
        <f t="shared" si="0"/>
        <v>999</v>
      </c>
      <c r="K8" s="2">
        <f t="shared" si="1"/>
        <v>5</v>
      </c>
      <c r="L8" s="2">
        <v>145</v>
      </c>
    </row>
    <row r="9" spans="1:12" x14ac:dyDescent="0.3">
      <c r="A9" s="2">
        <v>5</v>
      </c>
      <c r="B9" s="2" t="s">
        <v>59</v>
      </c>
      <c r="C9" s="2" t="str">
        <f>T3Data!B8</f>
        <v>ARA</v>
      </c>
      <c r="D9" s="2" t="s">
        <v>59</v>
      </c>
      <c r="E9" s="29">
        <f>T3Data!J8</f>
        <v>25230400</v>
      </c>
      <c r="F9" s="30">
        <f>T3Data!L8</f>
        <v>330000</v>
      </c>
      <c r="G9" s="2">
        <v>1</v>
      </c>
      <c r="H9" s="2">
        <v>999</v>
      </c>
      <c r="I9" s="2">
        <v>5</v>
      </c>
      <c r="J9" s="2">
        <f t="shared" si="0"/>
        <v>999</v>
      </c>
      <c r="K9" s="2">
        <f t="shared" si="1"/>
        <v>5</v>
      </c>
      <c r="L9" s="2">
        <v>10</v>
      </c>
    </row>
    <row r="10" spans="1:12" x14ac:dyDescent="0.3">
      <c r="A10" s="2">
        <v>8</v>
      </c>
      <c r="B10" s="2" t="s">
        <v>59</v>
      </c>
      <c r="C10" s="2" t="str">
        <f>T3Data!B9</f>
        <v>DUR</v>
      </c>
      <c r="D10" s="2" t="s">
        <v>59</v>
      </c>
      <c r="E10" s="29">
        <f>T3Data!J9</f>
        <v>25282600</v>
      </c>
      <c r="F10" s="30">
        <f>T3Data!L9</f>
        <v>330000</v>
      </c>
      <c r="G10" s="2">
        <v>1</v>
      </c>
      <c r="H10" s="2">
        <v>999</v>
      </c>
      <c r="I10" s="2">
        <v>5</v>
      </c>
      <c r="J10" s="2">
        <f t="shared" si="0"/>
        <v>999</v>
      </c>
      <c r="K10" s="2">
        <f t="shared" si="1"/>
        <v>5</v>
      </c>
      <c r="L10" s="2">
        <v>20</v>
      </c>
    </row>
    <row r="11" spans="1:12" x14ac:dyDescent="0.3">
      <c r="A11" s="2">
        <v>1</v>
      </c>
      <c r="B11" s="2" t="s">
        <v>14</v>
      </c>
      <c r="C11" s="2" t="s">
        <v>47</v>
      </c>
      <c r="D11" s="2" t="s">
        <v>42</v>
      </c>
      <c r="E11" s="29">
        <v>255229.08364800003</v>
      </c>
      <c r="F11" s="30">
        <v>2154155.1360000004</v>
      </c>
    </row>
    <row r="12" spans="1:12" hidden="1" x14ac:dyDescent="0.3">
      <c r="A12" s="2">
        <v>0</v>
      </c>
      <c r="B12" s="2" t="s">
        <v>14</v>
      </c>
      <c r="C12" s="2" t="s">
        <v>25</v>
      </c>
      <c r="D12" s="2" t="s">
        <v>42</v>
      </c>
      <c r="E12" s="29">
        <v>285973.99142400001</v>
      </c>
      <c r="F12" s="30">
        <v>2413644.7680000002</v>
      </c>
    </row>
    <row r="13" spans="1:12" hidden="1" x14ac:dyDescent="0.3">
      <c r="A13" s="2">
        <v>0</v>
      </c>
      <c r="B13" s="2" t="s">
        <v>14</v>
      </c>
      <c r="C13" s="2" t="s">
        <v>19</v>
      </c>
      <c r="D13" s="2" t="s">
        <v>42</v>
      </c>
      <c r="E13" s="29">
        <v>263005.43385600002</v>
      </c>
      <c r="F13" s="30">
        <v>2219788.1920000003</v>
      </c>
    </row>
    <row r="14" spans="1:12" hidden="1" x14ac:dyDescent="0.3">
      <c r="A14" s="2">
        <v>0</v>
      </c>
      <c r="B14" s="2" t="s">
        <v>14</v>
      </c>
      <c r="C14" s="2" t="s">
        <v>18</v>
      </c>
      <c r="D14" s="2" t="s">
        <v>42</v>
      </c>
      <c r="E14" s="29">
        <v>334022.56588800001</v>
      </c>
      <c r="F14" s="30">
        <v>2819178.8160000006</v>
      </c>
    </row>
    <row r="15" spans="1:12" hidden="1" x14ac:dyDescent="0.3">
      <c r="A15" s="2">
        <v>0</v>
      </c>
      <c r="B15" s="2" t="s">
        <v>17</v>
      </c>
      <c r="C15" s="2" t="s">
        <v>15</v>
      </c>
      <c r="D15" s="2" t="s">
        <v>42</v>
      </c>
      <c r="E15" s="29">
        <v>133176.43468800001</v>
      </c>
      <c r="F15" s="30">
        <v>1124020.4160000002</v>
      </c>
    </row>
    <row r="16" spans="1:12" hidden="1" x14ac:dyDescent="0.3">
      <c r="A16" s="2">
        <v>0</v>
      </c>
      <c r="B16" s="2" t="s">
        <v>17</v>
      </c>
      <c r="C16" s="2" t="s">
        <v>27</v>
      </c>
      <c r="D16" s="2" t="s">
        <v>42</v>
      </c>
      <c r="E16" s="29">
        <v>70579.390464000011</v>
      </c>
      <c r="F16" s="30">
        <v>595696.04800000007</v>
      </c>
    </row>
    <row r="17" spans="1:6" hidden="1" x14ac:dyDescent="0.3">
      <c r="A17" s="2">
        <v>0</v>
      </c>
      <c r="B17" s="2" t="s">
        <v>17</v>
      </c>
      <c r="C17" s="2" t="s">
        <v>32</v>
      </c>
      <c r="D17" s="2" t="s">
        <v>42</v>
      </c>
      <c r="E17" s="29">
        <v>383950.85414400004</v>
      </c>
      <c r="F17" s="30">
        <v>3240577.8080000007</v>
      </c>
    </row>
    <row r="18" spans="1:6" x14ac:dyDescent="0.3">
      <c r="A18" s="2">
        <v>1</v>
      </c>
      <c r="B18" s="2" t="s">
        <v>17</v>
      </c>
      <c r="C18" s="2" t="s">
        <v>31</v>
      </c>
      <c r="D18" s="2" t="s">
        <v>42</v>
      </c>
      <c r="E18" s="29">
        <v>259606.49932800001</v>
      </c>
      <c r="F18" s="30">
        <v>2191100.8960000002</v>
      </c>
    </row>
    <row r="19" spans="1:6" hidden="1" x14ac:dyDescent="0.3">
      <c r="A19" s="2">
        <v>0</v>
      </c>
      <c r="B19" s="2" t="s">
        <v>28</v>
      </c>
      <c r="C19" s="2" t="s">
        <v>39</v>
      </c>
      <c r="D19" s="2" t="s">
        <v>42</v>
      </c>
      <c r="E19" s="29">
        <v>27011.229696000002</v>
      </c>
      <c r="F19" s="30">
        <v>227977.07200000004</v>
      </c>
    </row>
    <row r="20" spans="1:6" hidden="1" x14ac:dyDescent="0.3">
      <c r="A20" s="2">
        <v>0</v>
      </c>
      <c r="B20" s="2" t="s">
        <v>28</v>
      </c>
      <c r="C20" s="2" t="s">
        <v>27</v>
      </c>
      <c r="D20" s="2" t="s">
        <v>42</v>
      </c>
      <c r="E20" s="29">
        <v>57138.149376000001</v>
      </c>
      <c r="F20" s="30">
        <v>482250.83200000005</v>
      </c>
    </row>
    <row r="21" spans="1:6" hidden="1" x14ac:dyDescent="0.3">
      <c r="A21" s="2">
        <v>0</v>
      </c>
      <c r="B21" s="2" t="s">
        <v>28</v>
      </c>
      <c r="C21" s="2" t="s">
        <v>32</v>
      </c>
      <c r="D21" s="2" t="s">
        <v>42</v>
      </c>
      <c r="E21" s="29">
        <v>263597.672448</v>
      </c>
      <c r="F21" s="30">
        <v>2224786.7360000005</v>
      </c>
    </row>
    <row r="22" spans="1:6" hidden="1" x14ac:dyDescent="0.3">
      <c r="A22" s="2">
        <v>0</v>
      </c>
      <c r="B22" s="2" t="s">
        <v>28</v>
      </c>
      <c r="C22" s="2" t="s">
        <v>29</v>
      </c>
      <c r="D22" s="2" t="s">
        <v>42</v>
      </c>
      <c r="E22" s="29">
        <v>238543.40505600002</v>
      </c>
      <c r="F22" s="30">
        <v>2013326.5920000002</v>
      </c>
    </row>
    <row r="23" spans="1:6" hidden="1" x14ac:dyDescent="0.3">
      <c r="A23" s="2">
        <v>0</v>
      </c>
      <c r="B23" s="2" t="s">
        <v>15</v>
      </c>
      <c r="C23" s="2" t="s">
        <v>17</v>
      </c>
      <c r="D23" s="2" t="s">
        <v>42</v>
      </c>
      <c r="E23" s="29">
        <v>133176.43468800001</v>
      </c>
      <c r="F23" s="30">
        <v>1124020.4160000002</v>
      </c>
    </row>
    <row r="24" spans="1:6" x14ac:dyDescent="0.3">
      <c r="A24" s="2">
        <v>1</v>
      </c>
      <c r="B24" s="2" t="s">
        <v>15</v>
      </c>
      <c r="C24" s="2" t="s">
        <v>45</v>
      </c>
      <c r="D24" s="2" t="s">
        <v>42</v>
      </c>
      <c r="E24" s="29">
        <v>106783.193088</v>
      </c>
      <c r="F24" s="30">
        <v>901259.21600000013</v>
      </c>
    </row>
    <row r="25" spans="1:6" hidden="1" x14ac:dyDescent="0.3">
      <c r="A25" s="2">
        <v>0</v>
      </c>
      <c r="B25" s="2" t="s">
        <v>15</v>
      </c>
      <c r="C25" s="2" t="s">
        <v>44</v>
      </c>
      <c r="D25" s="2" t="s">
        <v>42</v>
      </c>
      <c r="E25" s="29">
        <v>222243.96902400002</v>
      </c>
      <c r="F25" s="30">
        <v>1875757.9680000003</v>
      </c>
    </row>
    <row r="26" spans="1:6" hidden="1" x14ac:dyDescent="0.3">
      <c r="A26" s="2">
        <v>0</v>
      </c>
      <c r="B26" s="2" t="s">
        <v>15</v>
      </c>
      <c r="C26" s="2" t="s">
        <v>47</v>
      </c>
      <c r="D26" s="2" t="s">
        <v>42</v>
      </c>
      <c r="E26" s="29">
        <v>271013.52960000001</v>
      </c>
      <c r="F26" s="30">
        <v>2287377.2000000002</v>
      </c>
    </row>
    <row r="27" spans="1:6" hidden="1" x14ac:dyDescent="0.3">
      <c r="A27" s="2">
        <v>0</v>
      </c>
      <c r="B27" s="2" t="s">
        <v>15</v>
      </c>
      <c r="C27" s="2" t="s">
        <v>31</v>
      </c>
      <c r="D27" s="2" t="s">
        <v>42</v>
      </c>
      <c r="E27" s="29">
        <v>274644.20966400002</v>
      </c>
      <c r="F27" s="30">
        <v>2318020.4480000003</v>
      </c>
    </row>
    <row r="28" spans="1:6" x14ac:dyDescent="0.3">
      <c r="A28" s="2">
        <v>26</v>
      </c>
      <c r="B28" s="2" t="s">
        <v>39</v>
      </c>
      <c r="C28" s="2" t="s">
        <v>28</v>
      </c>
      <c r="D28" s="2" t="s">
        <v>42</v>
      </c>
      <c r="E28" s="29">
        <v>27011.229696000002</v>
      </c>
      <c r="F28" s="30">
        <v>227977.07200000004</v>
      </c>
    </row>
    <row r="29" spans="1:6" x14ac:dyDescent="0.3">
      <c r="A29" s="2">
        <v>85</v>
      </c>
      <c r="B29" s="2" t="s">
        <v>39</v>
      </c>
      <c r="C29" s="2" t="s">
        <v>27</v>
      </c>
      <c r="D29" s="2" t="s">
        <v>41</v>
      </c>
      <c r="E29" s="29">
        <v>305698.11148800002</v>
      </c>
      <c r="F29" s="30">
        <v>74081.279999999999</v>
      </c>
    </row>
    <row r="30" spans="1:6" hidden="1" x14ac:dyDescent="0.3">
      <c r="A30" s="2">
        <v>0</v>
      </c>
      <c r="B30" s="2" t="s">
        <v>39</v>
      </c>
      <c r="C30" s="2" t="s">
        <v>27</v>
      </c>
      <c r="D30" s="2" t="s">
        <v>42</v>
      </c>
      <c r="E30" s="29">
        <v>80518.699008000011</v>
      </c>
      <c r="F30" s="30">
        <v>679584.65600000008</v>
      </c>
    </row>
    <row r="31" spans="1:6" x14ac:dyDescent="0.3">
      <c r="A31" s="2">
        <v>33</v>
      </c>
      <c r="B31" s="2" t="s">
        <v>39</v>
      </c>
      <c r="C31" s="2" t="s">
        <v>26</v>
      </c>
      <c r="D31" s="2" t="s">
        <v>41</v>
      </c>
      <c r="E31" s="29">
        <v>844068.74112000002</v>
      </c>
      <c r="F31" s="30">
        <v>204547.20000000001</v>
      </c>
    </row>
    <row r="32" spans="1:6" hidden="1" x14ac:dyDescent="0.3">
      <c r="A32" s="2">
        <v>0</v>
      </c>
      <c r="B32" s="2" t="s">
        <v>39</v>
      </c>
      <c r="C32" s="2" t="s">
        <v>31</v>
      </c>
      <c r="D32" s="2" t="s">
        <v>42</v>
      </c>
      <c r="E32" s="29">
        <v>269571.55737600004</v>
      </c>
      <c r="F32" s="30">
        <v>2275206.8320000004</v>
      </c>
    </row>
    <row r="33" spans="1:6" hidden="1" x14ac:dyDescent="0.3">
      <c r="A33" s="2">
        <v>0</v>
      </c>
      <c r="B33" s="2" t="s">
        <v>45</v>
      </c>
      <c r="C33" s="2" t="s">
        <v>15</v>
      </c>
      <c r="D33" s="2" t="s">
        <v>42</v>
      </c>
      <c r="E33" s="29">
        <v>106783.193088</v>
      </c>
      <c r="F33" s="30">
        <v>901259.21600000013</v>
      </c>
    </row>
    <row r="34" spans="1:6" hidden="1" x14ac:dyDescent="0.3">
      <c r="A34" s="2">
        <v>0</v>
      </c>
      <c r="B34" s="2" t="s">
        <v>45</v>
      </c>
      <c r="C34" s="2" t="s">
        <v>44</v>
      </c>
      <c r="D34" s="2" t="s">
        <v>42</v>
      </c>
      <c r="E34" s="29">
        <v>194254.258176</v>
      </c>
      <c r="F34" s="30">
        <v>1639522.4320000003</v>
      </c>
    </row>
    <row r="35" spans="1:6" hidden="1" x14ac:dyDescent="0.3">
      <c r="A35" s="2">
        <v>0</v>
      </c>
      <c r="B35" s="2" t="s">
        <v>45</v>
      </c>
      <c r="C35" s="2" t="s">
        <v>47</v>
      </c>
      <c r="D35" s="2" t="s">
        <v>42</v>
      </c>
      <c r="E35" s="29">
        <v>211892.668416</v>
      </c>
      <c r="F35" s="30">
        <v>1788392.1120000002</v>
      </c>
    </row>
    <row r="36" spans="1:6" hidden="1" x14ac:dyDescent="0.3">
      <c r="A36" s="2">
        <v>0</v>
      </c>
      <c r="B36" s="2" t="s">
        <v>44</v>
      </c>
      <c r="C36" s="2" t="s">
        <v>15</v>
      </c>
      <c r="D36" s="2" t="s">
        <v>42</v>
      </c>
      <c r="E36" s="29">
        <v>222243.96902400002</v>
      </c>
      <c r="F36" s="30">
        <v>1875757.9680000003</v>
      </c>
    </row>
    <row r="37" spans="1:6" x14ac:dyDescent="0.3">
      <c r="A37" s="2">
        <v>4</v>
      </c>
      <c r="B37" s="2" t="s">
        <v>44</v>
      </c>
      <c r="C37" s="2" t="s">
        <v>45</v>
      </c>
      <c r="D37" s="2" t="s">
        <v>42</v>
      </c>
      <c r="E37" s="29">
        <v>194254.258176</v>
      </c>
      <c r="F37" s="30">
        <v>1639522.4320000003</v>
      </c>
    </row>
    <row r="38" spans="1:6" hidden="1" x14ac:dyDescent="0.3">
      <c r="A38" s="2">
        <v>0</v>
      </c>
      <c r="B38" s="2" t="s">
        <v>44</v>
      </c>
      <c r="C38" s="2" t="s">
        <v>47</v>
      </c>
      <c r="D38" s="2" t="s">
        <v>42</v>
      </c>
      <c r="E38" s="29">
        <v>349549.51680000004</v>
      </c>
      <c r="F38" s="30">
        <v>2950227.6000000006</v>
      </c>
    </row>
    <row r="39" spans="1:6" x14ac:dyDescent="0.3">
      <c r="A39" s="2">
        <v>3</v>
      </c>
      <c r="B39" s="2" t="s">
        <v>44</v>
      </c>
      <c r="C39" s="2" t="s">
        <v>31</v>
      </c>
      <c r="D39" s="2" t="s">
        <v>42</v>
      </c>
      <c r="E39" s="29">
        <v>359334.32832000003</v>
      </c>
      <c r="F39" s="30">
        <v>3032812.24</v>
      </c>
    </row>
    <row r="40" spans="1:6" hidden="1" x14ac:dyDescent="0.3">
      <c r="A40" s="2">
        <v>0</v>
      </c>
      <c r="B40" s="2" t="s">
        <v>47</v>
      </c>
      <c r="C40" s="2" t="s">
        <v>14</v>
      </c>
      <c r="D40" s="2" t="s">
        <v>42</v>
      </c>
      <c r="E40" s="29">
        <v>255229.08364800003</v>
      </c>
      <c r="F40" s="30">
        <v>2154155.1360000004</v>
      </c>
    </row>
    <row r="41" spans="1:6" hidden="1" x14ac:dyDescent="0.3">
      <c r="A41" s="2">
        <v>0</v>
      </c>
      <c r="B41" s="2" t="s">
        <v>47</v>
      </c>
      <c r="C41" s="2" t="s">
        <v>15</v>
      </c>
      <c r="D41" s="2" t="s">
        <v>42</v>
      </c>
      <c r="E41" s="29">
        <v>271013.52960000001</v>
      </c>
      <c r="F41" s="30">
        <v>2287377.2000000002</v>
      </c>
    </row>
    <row r="42" spans="1:6" hidden="1" x14ac:dyDescent="0.3">
      <c r="A42" s="2">
        <v>0</v>
      </c>
      <c r="B42" s="2" t="s">
        <v>47</v>
      </c>
      <c r="C42" s="2" t="s">
        <v>45</v>
      </c>
      <c r="D42" s="2" t="s">
        <v>42</v>
      </c>
      <c r="E42" s="29">
        <v>211892.668416</v>
      </c>
      <c r="F42" s="30">
        <v>1788392.1120000002</v>
      </c>
    </row>
    <row r="43" spans="1:6" hidden="1" x14ac:dyDescent="0.3">
      <c r="A43" s="2">
        <v>0</v>
      </c>
      <c r="B43" s="2" t="s">
        <v>47</v>
      </c>
      <c r="C43" s="2" t="s">
        <v>44</v>
      </c>
      <c r="D43" s="2" t="s">
        <v>42</v>
      </c>
      <c r="E43" s="29">
        <v>349549.51680000004</v>
      </c>
      <c r="F43" s="30">
        <v>2950227.6000000006</v>
      </c>
    </row>
    <row r="44" spans="1:6" hidden="1" x14ac:dyDescent="0.3">
      <c r="A44" s="2">
        <v>0</v>
      </c>
      <c r="B44" s="2" t="s">
        <v>47</v>
      </c>
      <c r="C44" s="2" t="s">
        <v>25</v>
      </c>
      <c r="D44" s="2" t="s">
        <v>41</v>
      </c>
      <c r="E44" s="29">
        <v>106396.950528</v>
      </c>
      <c r="F44" s="30">
        <v>25783.68</v>
      </c>
    </row>
    <row r="45" spans="1:6" hidden="1" x14ac:dyDescent="0.3">
      <c r="A45" s="2">
        <v>0</v>
      </c>
      <c r="B45" s="2" t="s">
        <v>47</v>
      </c>
      <c r="C45" s="2" t="s">
        <v>25</v>
      </c>
      <c r="D45" s="2" t="s">
        <v>42</v>
      </c>
      <c r="E45" s="29">
        <v>108637.157376</v>
      </c>
      <c r="F45" s="30">
        <v>916906.83200000017</v>
      </c>
    </row>
    <row r="46" spans="1:6" hidden="1" x14ac:dyDescent="0.3">
      <c r="A46" s="2">
        <v>0</v>
      </c>
      <c r="B46" s="2" t="s">
        <v>47</v>
      </c>
      <c r="C46" s="2" t="s">
        <v>16</v>
      </c>
      <c r="D46" s="2" t="s">
        <v>41</v>
      </c>
      <c r="E46" s="29">
        <v>47482.085376000003</v>
      </c>
      <c r="F46" s="30">
        <v>11506.56</v>
      </c>
    </row>
    <row r="47" spans="1:6" hidden="1" x14ac:dyDescent="0.3">
      <c r="A47" s="2">
        <v>0</v>
      </c>
      <c r="B47" s="2" t="s">
        <v>47</v>
      </c>
      <c r="C47" s="2" t="s">
        <v>18</v>
      </c>
      <c r="D47" s="2" t="s">
        <v>42</v>
      </c>
      <c r="E47" s="29">
        <v>286308.73497600004</v>
      </c>
      <c r="F47" s="30">
        <v>2416470.0320000001</v>
      </c>
    </row>
    <row r="48" spans="1:6" hidden="1" x14ac:dyDescent="0.3">
      <c r="A48" s="2">
        <v>0</v>
      </c>
      <c r="B48" s="2" t="s">
        <v>27</v>
      </c>
      <c r="C48" s="2" t="s">
        <v>17</v>
      </c>
      <c r="D48" s="2" t="s">
        <v>42</v>
      </c>
      <c r="E48" s="29">
        <v>70579.390464000011</v>
      </c>
      <c r="F48" s="30">
        <v>595696.04800000007</v>
      </c>
    </row>
    <row r="49" spans="1:6" hidden="1" x14ac:dyDescent="0.3">
      <c r="A49" s="2">
        <v>0</v>
      </c>
      <c r="B49" s="2" t="s">
        <v>27</v>
      </c>
      <c r="C49" s="2" t="s">
        <v>28</v>
      </c>
      <c r="D49" s="2" t="s">
        <v>42</v>
      </c>
      <c r="E49" s="29">
        <v>57138.149376000001</v>
      </c>
      <c r="F49" s="30">
        <v>482250.83200000005</v>
      </c>
    </row>
    <row r="50" spans="1:6" hidden="1" x14ac:dyDescent="0.3">
      <c r="A50" s="2">
        <v>0</v>
      </c>
      <c r="B50" s="2" t="s">
        <v>27</v>
      </c>
      <c r="C50" s="2" t="s">
        <v>39</v>
      </c>
      <c r="D50" s="2" t="s">
        <v>41</v>
      </c>
      <c r="E50" s="29">
        <v>305698.11148800002</v>
      </c>
      <c r="F50" s="30">
        <v>74081.279999999999</v>
      </c>
    </row>
    <row r="51" spans="1:6" hidden="1" x14ac:dyDescent="0.3">
      <c r="A51" s="2">
        <v>0</v>
      </c>
      <c r="B51" s="2" t="s">
        <v>27</v>
      </c>
      <c r="C51" s="2" t="s">
        <v>39</v>
      </c>
      <c r="D51" s="2" t="s">
        <v>42</v>
      </c>
      <c r="E51" s="29">
        <v>80518.699008000011</v>
      </c>
      <c r="F51" s="30">
        <v>679584.65600000008</v>
      </c>
    </row>
    <row r="52" spans="1:6" hidden="1" x14ac:dyDescent="0.3">
      <c r="A52" s="2">
        <v>0</v>
      </c>
      <c r="B52" s="2" t="s">
        <v>27</v>
      </c>
      <c r="C52" s="2" t="s">
        <v>32</v>
      </c>
      <c r="D52" s="2" t="s">
        <v>42</v>
      </c>
      <c r="E52" s="29">
        <v>323310.77222400001</v>
      </c>
      <c r="F52" s="30">
        <v>2728770.3680000002</v>
      </c>
    </row>
    <row r="53" spans="1:6" hidden="1" x14ac:dyDescent="0.3">
      <c r="A53" s="2">
        <v>0</v>
      </c>
      <c r="B53" s="2" t="s">
        <v>32</v>
      </c>
      <c r="C53" s="2" t="s">
        <v>17</v>
      </c>
      <c r="D53" s="2" t="s">
        <v>42</v>
      </c>
      <c r="E53" s="29">
        <v>383950.85414400004</v>
      </c>
      <c r="F53" s="30">
        <v>3240577.8080000007</v>
      </c>
    </row>
    <row r="54" spans="1:6" hidden="1" x14ac:dyDescent="0.3">
      <c r="A54" s="2">
        <v>0</v>
      </c>
      <c r="B54" s="2" t="s">
        <v>32</v>
      </c>
      <c r="C54" s="2" t="s">
        <v>28</v>
      </c>
      <c r="D54" s="2" t="s">
        <v>42</v>
      </c>
      <c r="E54" s="29">
        <v>263597.672448</v>
      </c>
      <c r="F54" s="30">
        <v>2224786.7360000005</v>
      </c>
    </row>
    <row r="55" spans="1:6" hidden="1" x14ac:dyDescent="0.3">
      <c r="A55" s="2">
        <v>0</v>
      </c>
      <c r="B55" s="2" t="s">
        <v>32</v>
      </c>
      <c r="C55" s="2" t="s">
        <v>27</v>
      </c>
      <c r="D55" s="2" t="s">
        <v>42</v>
      </c>
      <c r="E55" s="29">
        <v>323310.77222400001</v>
      </c>
      <c r="F55" s="30">
        <v>2728770.3680000002</v>
      </c>
    </row>
    <row r="56" spans="1:6" hidden="1" x14ac:dyDescent="0.3">
      <c r="A56" s="2">
        <v>0</v>
      </c>
      <c r="B56" s="2" t="s">
        <v>32</v>
      </c>
      <c r="C56" s="2" t="s">
        <v>30</v>
      </c>
      <c r="D56" s="2" t="s">
        <v>41</v>
      </c>
      <c r="E56" s="29">
        <v>471215.92320000002</v>
      </c>
      <c r="F56" s="30">
        <v>114192</v>
      </c>
    </row>
    <row r="57" spans="1:6" hidden="1" x14ac:dyDescent="0.3">
      <c r="A57" s="2">
        <v>0</v>
      </c>
      <c r="B57" s="2" t="s">
        <v>32</v>
      </c>
      <c r="C57" s="2" t="s">
        <v>19</v>
      </c>
      <c r="D57" s="2" t="s">
        <v>41</v>
      </c>
      <c r="E57" s="29">
        <v>401074.27430400002</v>
      </c>
      <c r="F57" s="30">
        <v>97194.240000000005</v>
      </c>
    </row>
    <row r="58" spans="1:6" hidden="1" x14ac:dyDescent="0.3">
      <c r="A58" s="2">
        <v>0</v>
      </c>
      <c r="B58" s="2" t="s">
        <v>32</v>
      </c>
      <c r="C58" s="2" t="s">
        <v>29</v>
      </c>
      <c r="D58" s="2" t="s">
        <v>41</v>
      </c>
      <c r="E58" s="29">
        <v>188177.37523200002</v>
      </c>
      <c r="F58" s="30">
        <v>45601.919999999998</v>
      </c>
    </row>
    <row r="59" spans="1:6" hidden="1" x14ac:dyDescent="0.3">
      <c r="A59" s="2">
        <v>0</v>
      </c>
      <c r="B59" s="2" t="s">
        <v>32</v>
      </c>
      <c r="C59" s="2" t="s">
        <v>29</v>
      </c>
      <c r="D59" s="2" t="s">
        <v>42</v>
      </c>
      <c r="E59" s="29">
        <v>59610.101760000005</v>
      </c>
      <c r="F59" s="30">
        <v>503114.32000000007</v>
      </c>
    </row>
    <row r="60" spans="1:6" hidden="1" x14ac:dyDescent="0.3">
      <c r="A60" s="2">
        <v>0</v>
      </c>
      <c r="B60" s="2" t="s">
        <v>32</v>
      </c>
      <c r="C60" s="2" t="s">
        <v>31</v>
      </c>
      <c r="D60" s="2" t="s">
        <v>42</v>
      </c>
      <c r="E60" s="29">
        <v>341953.41312000004</v>
      </c>
      <c r="F60" s="30">
        <v>2886115.8400000003</v>
      </c>
    </row>
    <row r="61" spans="1:6" hidden="1" x14ac:dyDescent="0.3">
      <c r="A61" s="2">
        <v>0</v>
      </c>
      <c r="B61" s="2" t="s">
        <v>32</v>
      </c>
      <c r="C61" s="2" t="s">
        <v>18</v>
      </c>
      <c r="D61" s="2" t="s">
        <v>41</v>
      </c>
      <c r="E61" s="29">
        <v>319499.84563200001</v>
      </c>
      <c r="F61" s="30">
        <v>77425.919999999998</v>
      </c>
    </row>
    <row r="62" spans="1:6" hidden="1" x14ac:dyDescent="0.3">
      <c r="A62" s="2">
        <v>0</v>
      </c>
      <c r="B62" s="2" t="s">
        <v>25</v>
      </c>
      <c r="C62" s="2" t="s">
        <v>14</v>
      </c>
      <c r="D62" s="2" t="s">
        <v>42</v>
      </c>
      <c r="E62" s="29">
        <v>285973.99142400001</v>
      </c>
      <c r="F62" s="30">
        <v>2413644.7680000002</v>
      </c>
    </row>
    <row r="63" spans="1:6" hidden="1" x14ac:dyDescent="0.3">
      <c r="A63" s="2">
        <v>0</v>
      </c>
      <c r="B63" s="2" t="s">
        <v>25</v>
      </c>
      <c r="C63" s="2" t="s">
        <v>47</v>
      </c>
      <c r="D63" s="2" t="s">
        <v>41</v>
      </c>
      <c r="E63" s="29">
        <v>106396.950528</v>
      </c>
      <c r="F63" s="30">
        <v>25783.68</v>
      </c>
    </row>
    <row r="64" spans="1:6" hidden="1" x14ac:dyDescent="0.3">
      <c r="A64" s="2">
        <v>0</v>
      </c>
      <c r="B64" s="2" t="s">
        <v>25</v>
      </c>
      <c r="C64" s="2" t="s">
        <v>47</v>
      </c>
      <c r="D64" s="2" t="s">
        <v>42</v>
      </c>
      <c r="E64" s="29">
        <v>108637.157376</v>
      </c>
      <c r="F64" s="30">
        <v>916906.83200000017</v>
      </c>
    </row>
    <row r="65" spans="1:6" hidden="1" x14ac:dyDescent="0.3">
      <c r="A65" s="2">
        <v>0</v>
      </c>
      <c r="B65" s="2" t="s">
        <v>25</v>
      </c>
      <c r="C65" s="2" t="s">
        <v>30</v>
      </c>
      <c r="D65" s="2" t="s">
        <v>42</v>
      </c>
      <c r="E65" s="29">
        <v>175354.12224000003</v>
      </c>
      <c r="F65" s="30">
        <v>1480003.6800000002</v>
      </c>
    </row>
    <row r="66" spans="1:6" hidden="1" x14ac:dyDescent="0.3">
      <c r="A66" s="2">
        <v>0</v>
      </c>
      <c r="B66" s="2" t="s">
        <v>25</v>
      </c>
      <c r="C66" s="2" t="s">
        <v>16</v>
      </c>
      <c r="D66" s="2" t="s">
        <v>41</v>
      </c>
      <c r="E66" s="29">
        <v>94037.188608000011</v>
      </c>
      <c r="F66" s="30">
        <v>22788.48</v>
      </c>
    </row>
    <row r="67" spans="1:6" hidden="1" x14ac:dyDescent="0.3">
      <c r="A67" s="2">
        <v>0</v>
      </c>
      <c r="B67" s="2" t="s">
        <v>25</v>
      </c>
      <c r="C67" s="2" t="s">
        <v>19</v>
      </c>
      <c r="D67" s="2" t="s">
        <v>42</v>
      </c>
      <c r="E67" s="29">
        <v>177697.32710400003</v>
      </c>
      <c r="F67" s="30">
        <v>1499780.5280000002</v>
      </c>
    </row>
    <row r="68" spans="1:6" hidden="1" x14ac:dyDescent="0.3">
      <c r="A68" s="2">
        <v>0</v>
      </c>
      <c r="B68" s="2" t="s">
        <v>25</v>
      </c>
      <c r="C68" s="2" t="s">
        <v>18</v>
      </c>
      <c r="D68" s="2" t="s">
        <v>42</v>
      </c>
      <c r="E68" s="29">
        <v>267537.34656000003</v>
      </c>
      <c r="F68" s="30">
        <v>2258037.9200000004</v>
      </c>
    </row>
    <row r="69" spans="1:6" hidden="1" x14ac:dyDescent="0.3">
      <c r="A69" s="2">
        <v>0</v>
      </c>
      <c r="B69" s="2" t="s">
        <v>30</v>
      </c>
      <c r="C69" s="2" t="s">
        <v>32</v>
      </c>
      <c r="D69" s="2" t="s">
        <v>41</v>
      </c>
      <c r="E69" s="29">
        <v>471215.92320000002</v>
      </c>
      <c r="F69" s="30">
        <v>114192</v>
      </c>
    </row>
    <row r="70" spans="1:6" hidden="1" x14ac:dyDescent="0.3">
      <c r="A70" s="2">
        <v>0</v>
      </c>
      <c r="B70" s="2" t="s">
        <v>30</v>
      </c>
      <c r="C70" s="2" t="s">
        <v>25</v>
      </c>
      <c r="D70" s="2" t="s">
        <v>42</v>
      </c>
      <c r="E70" s="29">
        <v>175354.12224000003</v>
      </c>
      <c r="F70" s="30">
        <v>1480003.6800000002</v>
      </c>
    </row>
    <row r="71" spans="1:6" hidden="1" x14ac:dyDescent="0.3">
      <c r="A71" s="2">
        <v>0</v>
      </c>
      <c r="B71" s="2" t="s">
        <v>30</v>
      </c>
      <c r="C71" s="2" t="s">
        <v>19</v>
      </c>
      <c r="D71" s="2" t="s">
        <v>41</v>
      </c>
      <c r="E71" s="29">
        <v>192503.29190400001</v>
      </c>
      <c r="F71" s="30">
        <v>46650.239999999998</v>
      </c>
    </row>
    <row r="72" spans="1:6" hidden="1" x14ac:dyDescent="0.3">
      <c r="A72" s="2">
        <v>0</v>
      </c>
      <c r="B72" s="2" t="s">
        <v>30</v>
      </c>
      <c r="C72" s="2" t="s">
        <v>19</v>
      </c>
      <c r="D72" s="2" t="s">
        <v>42</v>
      </c>
      <c r="E72" s="29">
        <v>105238.222848</v>
      </c>
      <c r="F72" s="30">
        <v>888219.53600000008</v>
      </c>
    </row>
    <row r="73" spans="1:6" hidden="1" x14ac:dyDescent="0.3">
      <c r="A73" s="2">
        <v>0</v>
      </c>
      <c r="B73" s="2" t="s">
        <v>30</v>
      </c>
      <c r="C73" s="2" t="s">
        <v>29</v>
      </c>
      <c r="D73" s="2" t="s">
        <v>41</v>
      </c>
      <c r="E73" s="29">
        <v>487386.61171200004</v>
      </c>
      <c r="F73" s="30">
        <v>118110.72</v>
      </c>
    </row>
    <row r="74" spans="1:6" hidden="1" x14ac:dyDescent="0.3">
      <c r="A74" s="2">
        <v>0</v>
      </c>
      <c r="B74" s="2" t="s">
        <v>26</v>
      </c>
      <c r="C74" s="2" t="s">
        <v>39</v>
      </c>
      <c r="D74" s="2" t="s">
        <v>41</v>
      </c>
      <c r="E74" s="29">
        <v>844068.74112000002</v>
      </c>
      <c r="F74" s="30">
        <v>204547.20000000001</v>
      </c>
    </row>
    <row r="75" spans="1:6" x14ac:dyDescent="0.3">
      <c r="A75" s="2">
        <v>24</v>
      </c>
      <c r="B75" s="2" t="s">
        <v>26</v>
      </c>
      <c r="C75" s="2" t="s">
        <v>16</v>
      </c>
      <c r="D75" s="2" t="s">
        <v>41</v>
      </c>
      <c r="E75" s="29">
        <v>243178.315776</v>
      </c>
      <c r="F75" s="30">
        <v>58930.560000000005</v>
      </c>
    </row>
    <row r="76" spans="1:6" x14ac:dyDescent="0.3">
      <c r="A76" s="2">
        <v>47</v>
      </c>
      <c r="B76" s="2" t="s">
        <v>16</v>
      </c>
      <c r="C76" s="2" t="s">
        <v>47</v>
      </c>
      <c r="D76" s="2" t="s">
        <v>41</v>
      </c>
      <c r="E76" s="29">
        <v>47482.085376000003</v>
      </c>
      <c r="F76" s="30">
        <v>11506.56</v>
      </c>
    </row>
    <row r="77" spans="1:6" x14ac:dyDescent="0.3">
      <c r="A77" s="2">
        <v>51</v>
      </c>
      <c r="B77" s="2" t="s">
        <v>16</v>
      </c>
      <c r="C77" s="2" t="s">
        <v>25</v>
      </c>
      <c r="D77" s="2" t="s">
        <v>41</v>
      </c>
      <c r="E77" s="29">
        <v>94037.188608000011</v>
      </c>
      <c r="F77" s="30">
        <v>22788.48</v>
      </c>
    </row>
    <row r="78" spans="1:6" hidden="1" x14ac:dyDescent="0.3">
      <c r="A78" s="2">
        <v>0</v>
      </c>
      <c r="B78" s="2" t="s">
        <v>16</v>
      </c>
      <c r="C78" s="2" t="s">
        <v>26</v>
      </c>
      <c r="D78" s="2" t="s">
        <v>41</v>
      </c>
      <c r="E78" s="29">
        <v>243178.315776</v>
      </c>
      <c r="F78" s="30">
        <v>58930.560000000005</v>
      </c>
    </row>
    <row r="79" spans="1:6" hidden="1" x14ac:dyDescent="0.3">
      <c r="A79" s="2">
        <v>0</v>
      </c>
      <c r="B79" s="2" t="s">
        <v>19</v>
      </c>
      <c r="C79" s="2" t="s">
        <v>14</v>
      </c>
      <c r="D79" s="2" t="s">
        <v>42</v>
      </c>
      <c r="E79" s="29">
        <v>263005.43385600002</v>
      </c>
      <c r="F79" s="30">
        <v>2219788.1920000003</v>
      </c>
    </row>
    <row r="80" spans="1:6" hidden="1" x14ac:dyDescent="0.3">
      <c r="A80" s="2">
        <v>0</v>
      </c>
      <c r="B80" s="2" t="s">
        <v>19</v>
      </c>
      <c r="C80" s="2" t="s">
        <v>32</v>
      </c>
      <c r="D80" s="2" t="s">
        <v>41</v>
      </c>
      <c r="E80" s="29">
        <v>401074.27430400002</v>
      </c>
      <c r="F80" s="30">
        <v>97194.240000000005</v>
      </c>
    </row>
    <row r="81" spans="1:6" hidden="1" x14ac:dyDescent="0.3">
      <c r="A81" s="2">
        <v>0</v>
      </c>
      <c r="B81" s="2" t="s">
        <v>19</v>
      </c>
      <c r="C81" s="2" t="s">
        <v>25</v>
      </c>
      <c r="D81" s="2" t="s">
        <v>42</v>
      </c>
      <c r="E81" s="29">
        <v>177697.32710400003</v>
      </c>
      <c r="F81" s="30">
        <v>1499780.5280000002</v>
      </c>
    </row>
    <row r="82" spans="1:6" x14ac:dyDescent="0.3">
      <c r="A82" s="2">
        <v>21</v>
      </c>
      <c r="B82" s="2" t="s">
        <v>19</v>
      </c>
      <c r="C82" s="2" t="s">
        <v>30</v>
      </c>
      <c r="D82" s="2" t="s">
        <v>41</v>
      </c>
      <c r="E82" s="29">
        <v>192503.29190400001</v>
      </c>
      <c r="F82" s="30">
        <v>46650.239999999998</v>
      </c>
    </row>
    <row r="83" spans="1:6" hidden="1" x14ac:dyDescent="0.3">
      <c r="A83" s="2">
        <v>0</v>
      </c>
      <c r="B83" s="2" t="s">
        <v>19</v>
      </c>
      <c r="C83" s="2" t="s">
        <v>30</v>
      </c>
      <c r="D83" s="2" t="s">
        <v>42</v>
      </c>
      <c r="E83" s="29">
        <v>105238.222848</v>
      </c>
      <c r="F83" s="30">
        <v>888219.53600000008</v>
      </c>
    </row>
    <row r="84" spans="1:6" x14ac:dyDescent="0.3">
      <c r="A84" s="2">
        <v>20</v>
      </c>
      <c r="B84" s="2" t="s">
        <v>19</v>
      </c>
      <c r="C84" s="2" t="s">
        <v>29</v>
      </c>
      <c r="D84" s="2" t="s">
        <v>41</v>
      </c>
      <c r="E84" s="29">
        <v>482545.70496000006</v>
      </c>
      <c r="F84" s="30">
        <v>116937.60000000001</v>
      </c>
    </row>
    <row r="85" spans="1:6" hidden="1" x14ac:dyDescent="0.3">
      <c r="A85" s="2">
        <v>0</v>
      </c>
      <c r="B85" s="2" t="s">
        <v>19</v>
      </c>
      <c r="C85" s="2" t="s">
        <v>18</v>
      </c>
      <c r="D85" s="2" t="s">
        <v>41</v>
      </c>
      <c r="E85" s="29">
        <v>267897.83961600001</v>
      </c>
      <c r="F85" s="30">
        <v>64920.959999999999</v>
      </c>
    </row>
    <row r="86" spans="1:6" hidden="1" x14ac:dyDescent="0.3">
      <c r="A86" s="2">
        <v>0</v>
      </c>
      <c r="B86" s="2" t="s">
        <v>19</v>
      </c>
      <c r="C86" s="2" t="s">
        <v>18</v>
      </c>
      <c r="D86" s="2" t="s">
        <v>42</v>
      </c>
      <c r="E86" s="29">
        <v>89788.52044800001</v>
      </c>
      <c r="F86" s="30">
        <v>757822.73600000015</v>
      </c>
    </row>
    <row r="87" spans="1:6" hidden="1" x14ac:dyDescent="0.3">
      <c r="A87" s="2">
        <v>0</v>
      </c>
      <c r="B87" s="2" t="s">
        <v>29</v>
      </c>
      <c r="C87" s="2" t="s">
        <v>28</v>
      </c>
      <c r="D87" s="2" t="s">
        <v>42</v>
      </c>
      <c r="E87" s="29">
        <v>238543.40505600002</v>
      </c>
      <c r="F87" s="30">
        <v>2013326.5920000002</v>
      </c>
    </row>
    <row r="88" spans="1:6" hidden="1" x14ac:dyDescent="0.3">
      <c r="A88" s="2">
        <v>0</v>
      </c>
      <c r="B88" s="2" t="s">
        <v>29</v>
      </c>
      <c r="C88" s="2" t="s">
        <v>32</v>
      </c>
      <c r="D88" s="2" t="s">
        <v>41</v>
      </c>
      <c r="E88" s="29">
        <v>188177.37523200002</v>
      </c>
      <c r="F88" s="30">
        <v>45601.919999999998</v>
      </c>
    </row>
    <row r="89" spans="1:6" hidden="1" x14ac:dyDescent="0.3">
      <c r="A89" s="2">
        <v>0</v>
      </c>
      <c r="B89" s="2" t="s">
        <v>29</v>
      </c>
      <c r="C89" s="2" t="s">
        <v>32</v>
      </c>
      <c r="D89" s="2" t="s">
        <v>42</v>
      </c>
      <c r="E89" s="29">
        <v>59610.101760000005</v>
      </c>
      <c r="F89" s="30">
        <v>503114.32000000007</v>
      </c>
    </row>
    <row r="90" spans="1:6" hidden="1" x14ac:dyDescent="0.3">
      <c r="A90" s="2">
        <v>0</v>
      </c>
      <c r="B90" s="2" t="s">
        <v>29</v>
      </c>
      <c r="C90" s="2" t="s">
        <v>30</v>
      </c>
      <c r="D90" s="2" t="s">
        <v>41</v>
      </c>
      <c r="E90" s="29">
        <v>487386.61171200004</v>
      </c>
      <c r="F90" s="30">
        <v>118110.72</v>
      </c>
    </row>
    <row r="91" spans="1:6" hidden="1" x14ac:dyDescent="0.3">
      <c r="A91" s="2">
        <v>0</v>
      </c>
      <c r="B91" s="2" t="s">
        <v>29</v>
      </c>
      <c r="C91" s="2" t="s">
        <v>19</v>
      </c>
      <c r="D91" s="2" t="s">
        <v>41</v>
      </c>
      <c r="E91" s="29">
        <v>482545.70496000006</v>
      </c>
      <c r="F91" s="30">
        <v>116937.60000000001</v>
      </c>
    </row>
    <row r="92" spans="1:6" hidden="1" x14ac:dyDescent="0.3">
      <c r="A92" s="2">
        <v>0</v>
      </c>
      <c r="B92" s="2" t="s">
        <v>31</v>
      </c>
      <c r="C92" s="2" t="s">
        <v>17</v>
      </c>
      <c r="D92" s="2" t="s">
        <v>42</v>
      </c>
      <c r="E92" s="29">
        <v>259606.49932800001</v>
      </c>
      <c r="F92" s="30">
        <v>2191100.8960000002</v>
      </c>
    </row>
    <row r="93" spans="1:6" hidden="1" x14ac:dyDescent="0.3">
      <c r="A93" s="2">
        <v>0</v>
      </c>
      <c r="B93" s="2" t="s">
        <v>31</v>
      </c>
      <c r="C93" s="2" t="s">
        <v>15</v>
      </c>
      <c r="D93" s="2" t="s">
        <v>42</v>
      </c>
      <c r="E93" s="29">
        <v>274644.20966400002</v>
      </c>
      <c r="F93" s="30">
        <v>2318020.4480000003</v>
      </c>
    </row>
    <row r="94" spans="1:6" hidden="1" x14ac:dyDescent="0.3">
      <c r="A94" s="2">
        <v>0</v>
      </c>
      <c r="B94" s="2" t="s">
        <v>31</v>
      </c>
      <c r="C94" s="2" t="s">
        <v>39</v>
      </c>
      <c r="D94" s="2" t="s">
        <v>42</v>
      </c>
      <c r="E94" s="29">
        <v>269571.55737600004</v>
      </c>
      <c r="F94" s="30">
        <v>2275206.8320000004</v>
      </c>
    </row>
    <row r="95" spans="1:6" hidden="1" x14ac:dyDescent="0.3">
      <c r="A95" s="2">
        <v>0</v>
      </c>
      <c r="B95" s="2" t="s">
        <v>31</v>
      </c>
      <c r="C95" s="2" t="s">
        <v>44</v>
      </c>
      <c r="D95" s="2" t="s">
        <v>42</v>
      </c>
      <c r="E95" s="29">
        <v>359334.32832000003</v>
      </c>
      <c r="F95" s="30">
        <v>3032812.24</v>
      </c>
    </row>
    <row r="96" spans="1:6" hidden="1" x14ac:dyDescent="0.3">
      <c r="A96" s="2">
        <v>0</v>
      </c>
      <c r="B96" s="2" t="s">
        <v>31</v>
      </c>
      <c r="C96" s="2" t="s">
        <v>32</v>
      </c>
      <c r="D96" s="2" t="s">
        <v>42</v>
      </c>
      <c r="E96" s="29">
        <v>341953.41312000004</v>
      </c>
      <c r="F96" s="30">
        <v>2886115.8400000003</v>
      </c>
    </row>
    <row r="97" spans="1:15" hidden="1" x14ac:dyDescent="0.3">
      <c r="A97" s="2">
        <v>0</v>
      </c>
      <c r="B97" s="2" t="s">
        <v>18</v>
      </c>
      <c r="C97" s="2" t="s">
        <v>14</v>
      </c>
      <c r="D97" s="2" t="s">
        <v>42</v>
      </c>
      <c r="E97" s="29">
        <v>334022.56588800001</v>
      </c>
      <c r="F97" s="30">
        <v>2819178.8160000006</v>
      </c>
    </row>
    <row r="98" spans="1:15" hidden="1" x14ac:dyDescent="0.3">
      <c r="A98" s="2">
        <v>0</v>
      </c>
      <c r="B98" s="2" t="s">
        <v>18</v>
      </c>
      <c r="C98" s="2" t="s">
        <v>47</v>
      </c>
      <c r="D98" s="2" t="s">
        <v>42</v>
      </c>
      <c r="E98" s="29">
        <v>286308.73497600004</v>
      </c>
      <c r="F98" s="30">
        <v>2416470.0320000001</v>
      </c>
    </row>
    <row r="99" spans="1:15" x14ac:dyDescent="0.3">
      <c r="A99" s="2">
        <v>21</v>
      </c>
      <c r="B99" s="2" t="s">
        <v>18</v>
      </c>
      <c r="C99" s="2" t="s">
        <v>32</v>
      </c>
      <c r="D99" s="2" t="s">
        <v>41</v>
      </c>
      <c r="E99" s="29">
        <v>319499.84563200001</v>
      </c>
      <c r="F99" s="30">
        <v>77425.919999999998</v>
      </c>
    </row>
    <row r="100" spans="1:15" hidden="1" x14ac:dyDescent="0.3">
      <c r="A100" s="2">
        <v>0</v>
      </c>
      <c r="B100" s="2" t="s">
        <v>18</v>
      </c>
      <c r="C100" s="2" t="s">
        <v>25</v>
      </c>
      <c r="D100" s="2" t="s">
        <v>42</v>
      </c>
      <c r="E100" s="29">
        <v>267537.34656000003</v>
      </c>
      <c r="F100" s="30">
        <v>2258037.9200000004</v>
      </c>
    </row>
    <row r="101" spans="1:15" x14ac:dyDescent="0.3">
      <c r="A101" s="2">
        <v>44</v>
      </c>
      <c r="B101" s="2" t="s">
        <v>18</v>
      </c>
      <c r="C101" s="2" t="s">
        <v>19</v>
      </c>
      <c r="D101" s="2" t="s">
        <v>41</v>
      </c>
      <c r="E101" s="29">
        <v>267897.83961600001</v>
      </c>
      <c r="F101" s="30">
        <v>64920.959999999999</v>
      </c>
    </row>
    <row r="102" spans="1:15" hidden="1" x14ac:dyDescent="0.3">
      <c r="A102" s="2">
        <v>0</v>
      </c>
      <c r="B102" s="2" t="s">
        <v>18</v>
      </c>
      <c r="C102" s="2" t="s">
        <v>19</v>
      </c>
      <c r="D102" s="2" t="s">
        <v>42</v>
      </c>
      <c r="E102" s="29">
        <v>89788.52044800001</v>
      </c>
      <c r="F102" s="30">
        <v>757822.73600000015</v>
      </c>
    </row>
    <row r="104" spans="1:15" x14ac:dyDescent="0.3">
      <c r="G104" s="2" t="s">
        <v>53</v>
      </c>
      <c r="H104" s="2" t="s">
        <v>54</v>
      </c>
      <c r="I104" s="2" t="s">
        <v>55</v>
      </c>
      <c r="J104" s="2" t="s">
        <v>60</v>
      </c>
      <c r="M104" s="2" t="s">
        <v>4</v>
      </c>
      <c r="N104" s="2" t="s">
        <v>5</v>
      </c>
      <c r="O104" s="2" t="s">
        <v>6</v>
      </c>
    </row>
    <row r="105" spans="1:15" x14ac:dyDescent="0.3">
      <c r="G105" s="29">
        <f>SUMPRODUCT($A$3:$A$100,E3:E100)</f>
        <v>13235347352.897026</v>
      </c>
      <c r="H105" s="30">
        <f>SUMPRODUCT($A$3:$A$100,F3:F100)</f>
        <v>214919117.56799999</v>
      </c>
      <c r="I105" s="31">
        <f>G105*(1-J105)+H105*J105</f>
        <v>6725133235.2325134</v>
      </c>
      <c r="J105" s="2">
        <v>0.5</v>
      </c>
      <c r="M105" s="2" t="s">
        <v>59</v>
      </c>
      <c r="N105" s="2">
        <f>SUMIF(Nodes345[Destination],M105,Nodes345[Units])-SUMIF(Nodes345[Origin],M105,Nodes345[Units])</f>
        <v>-506</v>
      </c>
      <c r="O105" s="2">
        <f>-SUM(_xlfn.ANCHORARRAY(O106))</f>
        <v>-506</v>
      </c>
    </row>
    <row r="106" spans="1:15" x14ac:dyDescent="0.3">
      <c r="G106" s="14">
        <f>G105/ABS($O$105)/1000</f>
        <v>26156.812950389376</v>
      </c>
      <c r="H106" s="30">
        <f>H105/ABS($O$105)/1000</f>
        <v>424.74133906719368</v>
      </c>
      <c r="I106" s="2" t="s">
        <v>56</v>
      </c>
      <c r="M106" s="2" t="str" cm="1">
        <f t="array" ref="M106:M123">T3Data!B2:B19</f>
        <v>MUN</v>
      </c>
      <c r="N106" s="2">
        <f>SUMIF(Nodes345[Destination],M106,Nodes345[Units])-SUMIF(Nodes345[Origin],M106,Nodes345[Units])</f>
        <v>82</v>
      </c>
      <c r="O106" s="2" cm="1">
        <f t="array" ref="O106:O123">T3Data!F2:F19</f>
        <v>82</v>
      </c>
    </row>
    <row r="107" spans="1:15" x14ac:dyDescent="0.3">
      <c r="M107" s="2" t="str">
        <v>CHE</v>
      </c>
      <c r="N107" s="2">
        <f>SUMIF(Nodes345[Destination],M107,Nodes345[Units])-SUMIF(Nodes345[Origin],M107,Nodes345[Units])</f>
        <v>9</v>
      </c>
      <c r="O107" s="2">
        <v>9</v>
      </c>
    </row>
    <row r="108" spans="1:15" x14ac:dyDescent="0.3">
      <c r="M108" s="2" t="str">
        <v>BKK</v>
      </c>
      <c r="N108" s="2">
        <f>SUMIF(Nodes345[Destination],M108,Nodes345[Units])-SUMIF(Nodes345[Origin],M108,Nodes345[Units])</f>
        <v>9</v>
      </c>
      <c r="O108" s="2">
        <v>9</v>
      </c>
    </row>
    <row r="109" spans="1:15" x14ac:dyDescent="0.3">
      <c r="M109" s="2" t="str">
        <v>DAL</v>
      </c>
      <c r="N109" s="2">
        <f>SUMIF(Nodes345[Destination],M109,Nodes345[Units])-SUMIF(Nodes345[Origin],M109,Nodes345[Units])</f>
        <v>86</v>
      </c>
      <c r="O109" s="2">
        <v>86</v>
      </c>
    </row>
    <row r="110" spans="1:15" x14ac:dyDescent="0.3">
      <c r="M110" s="2" t="str">
        <v>TAM</v>
      </c>
      <c r="N110" s="2">
        <f>SUMIF(Nodes345[Destination],M110,Nodes345[Units])-SUMIF(Nodes345[Origin],M110,Nodes345[Units])</f>
        <v>5</v>
      </c>
      <c r="O110" s="2">
        <v>5</v>
      </c>
    </row>
    <row r="111" spans="1:15" x14ac:dyDescent="0.3">
      <c r="M111" s="2" t="str">
        <v>SAV</v>
      </c>
      <c r="N111" s="2">
        <f>SUMIF(Nodes345[Destination],M111,Nodes345[Units])-SUMIF(Nodes345[Origin],M111,Nodes345[Units])</f>
        <v>20</v>
      </c>
      <c r="O111" s="2">
        <v>20</v>
      </c>
    </row>
    <row r="112" spans="1:15" x14ac:dyDescent="0.3">
      <c r="M112" s="2" t="str">
        <v>ARA</v>
      </c>
      <c r="N112" s="2">
        <f>SUMIF(Nodes345[Destination],M112,Nodes345[Units])-SUMIF(Nodes345[Origin],M112,Nodes345[Units])</f>
        <v>4</v>
      </c>
      <c r="O112" s="2">
        <v>4</v>
      </c>
    </row>
    <row r="113" spans="13:15" x14ac:dyDescent="0.3">
      <c r="M113" s="2" t="str">
        <v>DUR</v>
      </c>
      <c r="N113" s="2">
        <f>SUMIF(Nodes345[Destination],M113,Nodes345[Units])-SUMIF(Nodes345[Origin],M113,Nodes345[Units])</f>
        <v>1</v>
      </c>
      <c r="O113" s="2">
        <v>1</v>
      </c>
    </row>
    <row r="114" spans="13:15" x14ac:dyDescent="0.3">
      <c r="M114" s="2" t="str">
        <v>GOA</v>
      </c>
      <c r="N114" s="2">
        <f>SUMIF(Nodes345[Destination],M114,Nodes345[Units])-SUMIF(Nodes345[Origin],M114,Nodes345[Units])</f>
        <v>48</v>
      </c>
      <c r="O114" s="2">
        <v>48</v>
      </c>
    </row>
    <row r="115" spans="13:15" x14ac:dyDescent="0.3">
      <c r="M115" s="2" t="str">
        <v>LON</v>
      </c>
      <c r="N115" s="2">
        <f>SUMIF(Nodes345[Destination],M115,Nodes345[Units])-SUMIF(Nodes345[Origin],M115,Nodes345[Units])</f>
        <v>51</v>
      </c>
      <c r="O115" s="2">
        <v>51</v>
      </c>
    </row>
    <row r="116" spans="13:15" x14ac:dyDescent="0.3">
      <c r="M116" s="2" t="str">
        <v>MOS</v>
      </c>
      <c r="N116" s="2">
        <f>SUMIF(Nodes345[Destination],M116,Nodes345[Units])-SUMIF(Nodes345[Origin],M116,Nodes345[Units])</f>
        <v>9</v>
      </c>
      <c r="O116" s="2">
        <v>9</v>
      </c>
    </row>
    <row r="117" spans="13:15" x14ac:dyDescent="0.3">
      <c r="M117" s="2" t="str">
        <v>HKG</v>
      </c>
      <c r="N117" s="2">
        <f>SUMIF(Nodes345[Destination],M117,Nodes345[Units])-SUMIF(Nodes345[Origin],M117,Nodes345[Units])</f>
        <v>85</v>
      </c>
      <c r="O117" s="2">
        <v>85</v>
      </c>
    </row>
    <row r="118" spans="13:15" x14ac:dyDescent="0.3">
      <c r="M118" s="2" t="str">
        <v>BUS</v>
      </c>
      <c r="N118" s="2">
        <f>SUMIF(Nodes345[Destination],M118,Nodes345[Units])-SUMIF(Nodes345[Origin],M118,Nodes345[Units])</f>
        <v>26</v>
      </c>
      <c r="O118" s="2">
        <v>26</v>
      </c>
    </row>
    <row r="119" spans="13:15" x14ac:dyDescent="0.3">
      <c r="M119" s="2" t="str">
        <v>LAX</v>
      </c>
      <c r="N119" s="2">
        <f>SUMIF(Nodes345[Destination],M119,Nodes345[Units])-SUMIF(Nodes345[Origin],M119,Nodes345[Units])</f>
        <v>21</v>
      </c>
      <c r="O119" s="2">
        <v>21</v>
      </c>
    </row>
    <row r="120" spans="13:15" x14ac:dyDescent="0.3">
      <c r="M120" s="2" t="str">
        <v>SEA</v>
      </c>
      <c r="N120" s="2">
        <f>SUMIF(Nodes345[Destination],M120,Nodes345[Units])-SUMIF(Nodes345[Origin],M120,Nodes345[Units])</f>
        <v>20</v>
      </c>
      <c r="O120" s="2">
        <v>20</v>
      </c>
    </row>
    <row r="121" spans="13:15" x14ac:dyDescent="0.3">
      <c r="M121" s="2" t="str">
        <v>MON</v>
      </c>
      <c r="N121" s="2">
        <f>SUMIF(Nodes345[Destination],M121,Nodes345[Units])-SUMIF(Nodes345[Origin],M121,Nodes345[Units])</f>
        <v>21</v>
      </c>
      <c r="O121" s="2">
        <v>21</v>
      </c>
    </row>
    <row r="122" spans="13:15" x14ac:dyDescent="0.3">
      <c r="M122" s="2" t="str">
        <v>SYD</v>
      </c>
      <c r="N122" s="2">
        <f>SUMIF(Nodes345[Destination],M122,Nodes345[Units])-SUMIF(Nodes345[Origin],M122,Nodes345[Units])</f>
        <v>4</v>
      </c>
      <c r="O122" s="2">
        <v>4</v>
      </c>
    </row>
    <row r="123" spans="13:15" x14ac:dyDescent="0.3">
      <c r="M123" s="2" t="str">
        <v>DBI</v>
      </c>
      <c r="N123" s="2">
        <f>SUMIF(Nodes345[Destination],M123,Nodes345[Units])-SUMIF(Nodes345[Origin],M123,Nodes345[Units])</f>
        <v>5</v>
      </c>
      <c r="O123" s="2">
        <v>5</v>
      </c>
    </row>
  </sheetData>
  <conditionalFormatting sqref="A3:A102">
    <cfRule type="cellIs" dxfId="4" priority="1" operator="greaterThan">
      <formula>0</formula>
    </cfRule>
  </conditionalFormatting>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0D383-C41E-4228-AD95-B8689EE31156}">
  <sheetPr codeName="Sheet11">
    <tabColor rgb="FF92D050"/>
  </sheetPr>
  <dimension ref="A2:O123"/>
  <sheetViews>
    <sheetView zoomScale="85" zoomScaleNormal="85" workbookViewId="0">
      <selection activeCell="K2" sqref="K2"/>
    </sheetView>
  </sheetViews>
  <sheetFormatPr defaultRowHeight="14.5" x14ac:dyDescent="0.35"/>
  <cols>
    <col min="1" max="1" width="12.453125" bestFit="1" customWidth="1"/>
    <col min="2" max="2" width="10.08984375" bestFit="1" customWidth="1"/>
    <col min="3" max="3" width="12.1796875" customWidth="1"/>
    <col min="4" max="4" width="10.08984375" bestFit="1" customWidth="1"/>
    <col min="5" max="5" width="16.1796875" customWidth="1"/>
    <col min="6" max="6" width="13.36328125" customWidth="1"/>
    <col min="7" max="7" width="23.1796875" customWidth="1"/>
    <col min="8" max="8" width="22.08984375" customWidth="1"/>
    <col min="9" max="9" width="19.54296875" bestFit="1" customWidth="1"/>
    <col min="10" max="10" width="14" bestFit="1" customWidth="1"/>
    <col min="11" max="12" width="8.90625" bestFit="1" customWidth="1"/>
    <col min="13" max="13" width="10" customWidth="1"/>
  </cols>
  <sheetData>
    <row r="2" spans="1:12" x14ac:dyDescent="0.35">
      <c r="A2" t="s">
        <v>0</v>
      </c>
      <c r="B2" t="s">
        <v>1</v>
      </c>
      <c r="C2" t="s">
        <v>2</v>
      </c>
      <c r="D2" t="s">
        <v>46</v>
      </c>
      <c r="E2" t="s">
        <v>3</v>
      </c>
      <c r="F2" t="s">
        <v>40</v>
      </c>
      <c r="G2" t="s">
        <v>61</v>
      </c>
      <c r="H2" t="s">
        <v>63</v>
      </c>
      <c r="I2" t="s">
        <v>51</v>
      </c>
      <c r="J2" t="s">
        <v>64</v>
      </c>
      <c r="K2" t="s">
        <v>62</v>
      </c>
      <c r="L2" t="s">
        <v>52</v>
      </c>
    </row>
    <row r="3" spans="1:12" x14ac:dyDescent="0.35">
      <c r="A3">
        <v>11</v>
      </c>
      <c r="B3" t="s">
        <v>59</v>
      </c>
      <c r="C3" t="str">
        <f>T3Data!B2</f>
        <v>MUN</v>
      </c>
      <c r="D3" t="s">
        <v>59</v>
      </c>
      <c r="E3" s="6">
        <f>T3Data!J2</f>
        <v>27554200</v>
      </c>
      <c r="F3" s="8">
        <f>T3Data!L2</f>
        <v>330000</v>
      </c>
      <c r="G3">
        <v>1</v>
      </c>
      <c r="H3">
        <v>999</v>
      </c>
      <c r="I3" cm="1">
        <f t="array" ref="I3:I10">T3Data!M2:M9</f>
        <v>1</v>
      </c>
      <c r="J3">
        <f t="shared" ref="J3:J10" si="0">G3*H3</f>
        <v>999</v>
      </c>
      <c r="K3">
        <f t="shared" ref="K3:K10" si="1">G3*I3</f>
        <v>1</v>
      </c>
      <c r="L3" cm="1">
        <f t="array" ref="L3:L10">T3Data!N2:N9</f>
        <v>210</v>
      </c>
    </row>
    <row r="4" spans="1:12" x14ac:dyDescent="0.35">
      <c r="A4">
        <v>10</v>
      </c>
      <c r="B4" t="s">
        <v>59</v>
      </c>
      <c r="C4" t="str">
        <f>T3Data!B3</f>
        <v>CHE</v>
      </c>
      <c r="D4" t="s">
        <v>59</v>
      </c>
      <c r="E4" s="6">
        <f>T3Data!J3</f>
        <v>25048600</v>
      </c>
      <c r="F4" s="8">
        <f>T3Data!L3</f>
        <v>330000</v>
      </c>
      <c r="G4">
        <v>1</v>
      </c>
      <c r="H4">
        <v>999</v>
      </c>
      <c r="I4">
        <v>5</v>
      </c>
      <c r="J4">
        <f t="shared" si="0"/>
        <v>999</v>
      </c>
      <c r="K4">
        <f t="shared" si="1"/>
        <v>5</v>
      </c>
      <c r="L4">
        <v>10</v>
      </c>
    </row>
    <row r="5" spans="1:12" x14ac:dyDescent="0.35">
      <c r="A5">
        <v>10</v>
      </c>
      <c r="B5" t="s">
        <v>59</v>
      </c>
      <c r="C5" t="str">
        <f>T3Data!B4</f>
        <v>BKK</v>
      </c>
      <c r="D5" t="s">
        <v>59</v>
      </c>
      <c r="E5" s="6">
        <f>T3Data!J4</f>
        <v>25232200</v>
      </c>
      <c r="F5" s="8">
        <f>T3Data!L4</f>
        <v>330000</v>
      </c>
      <c r="G5">
        <v>1</v>
      </c>
      <c r="H5">
        <v>999</v>
      </c>
      <c r="I5">
        <v>5</v>
      </c>
      <c r="J5">
        <f t="shared" si="0"/>
        <v>999</v>
      </c>
      <c r="K5">
        <f t="shared" si="1"/>
        <v>5</v>
      </c>
      <c r="L5">
        <v>10</v>
      </c>
    </row>
    <row r="6" spans="1:12" x14ac:dyDescent="0.35">
      <c r="A6">
        <v>230</v>
      </c>
      <c r="B6" t="s">
        <v>59</v>
      </c>
      <c r="C6" t="str">
        <f>T3Data!B5</f>
        <v>DAL</v>
      </c>
      <c r="D6" t="s">
        <v>59</v>
      </c>
      <c r="E6" s="6">
        <f>T3Data!J5</f>
        <v>25228600</v>
      </c>
      <c r="F6" s="8">
        <f>T3Data!L5</f>
        <v>330000</v>
      </c>
      <c r="G6">
        <v>1</v>
      </c>
      <c r="H6">
        <v>999</v>
      </c>
      <c r="I6">
        <v>5</v>
      </c>
      <c r="J6">
        <f t="shared" si="0"/>
        <v>999</v>
      </c>
      <c r="K6">
        <f t="shared" si="1"/>
        <v>5</v>
      </c>
      <c r="L6">
        <v>230</v>
      </c>
    </row>
    <row r="7" spans="1:12" x14ac:dyDescent="0.35">
      <c r="A7">
        <v>70</v>
      </c>
      <c r="B7" t="s">
        <v>59</v>
      </c>
      <c r="C7" t="str">
        <f>T3Data!B6</f>
        <v>TAM</v>
      </c>
      <c r="D7" t="s">
        <v>59</v>
      </c>
      <c r="E7" s="6">
        <f>T3Data!J6</f>
        <v>25223200</v>
      </c>
      <c r="F7" s="8">
        <f>T3Data!L6</f>
        <v>330000</v>
      </c>
      <c r="G7">
        <v>1</v>
      </c>
      <c r="H7">
        <v>999</v>
      </c>
      <c r="I7">
        <v>5</v>
      </c>
      <c r="J7">
        <f t="shared" si="0"/>
        <v>999</v>
      </c>
      <c r="K7">
        <f t="shared" si="1"/>
        <v>5</v>
      </c>
      <c r="L7">
        <v>70</v>
      </c>
    </row>
    <row r="8" spans="1:12" x14ac:dyDescent="0.35">
      <c r="A8">
        <v>145</v>
      </c>
      <c r="B8" t="s">
        <v>59</v>
      </c>
      <c r="C8" t="str">
        <f>T3Data!B7</f>
        <v>SAV</v>
      </c>
      <c r="D8" t="s">
        <v>59</v>
      </c>
      <c r="E8" s="6">
        <f>T3Data!J7</f>
        <v>26305000</v>
      </c>
      <c r="F8" s="8">
        <f>T3Data!L7</f>
        <v>330000</v>
      </c>
      <c r="G8">
        <v>1</v>
      </c>
      <c r="H8">
        <v>999</v>
      </c>
      <c r="I8">
        <v>5</v>
      </c>
      <c r="J8">
        <f t="shared" si="0"/>
        <v>999</v>
      </c>
      <c r="K8">
        <f t="shared" si="1"/>
        <v>5</v>
      </c>
      <c r="L8">
        <v>145</v>
      </c>
    </row>
    <row r="9" spans="1:12" x14ac:dyDescent="0.35">
      <c r="A9">
        <v>10</v>
      </c>
      <c r="B9" t="s">
        <v>59</v>
      </c>
      <c r="C9" t="str">
        <f>T3Data!B8</f>
        <v>ARA</v>
      </c>
      <c r="D9" t="s">
        <v>59</v>
      </c>
      <c r="E9" s="6">
        <f>T3Data!J8</f>
        <v>25230400</v>
      </c>
      <c r="F9" s="8">
        <f>T3Data!L8</f>
        <v>330000</v>
      </c>
      <c r="G9">
        <v>1</v>
      </c>
      <c r="H9">
        <v>999</v>
      </c>
      <c r="I9">
        <v>5</v>
      </c>
      <c r="J9">
        <f t="shared" si="0"/>
        <v>999</v>
      </c>
      <c r="K9">
        <f t="shared" si="1"/>
        <v>5</v>
      </c>
      <c r="L9">
        <v>10</v>
      </c>
    </row>
    <row r="10" spans="1:12" x14ac:dyDescent="0.35">
      <c r="A10">
        <v>20</v>
      </c>
      <c r="B10" t="s">
        <v>59</v>
      </c>
      <c r="C10" t="str">
        <f>T3Data!B9</f>
        <v>DUR</v>
      </c>
      <c r="D10" t="s">
        <v>59</v>
      </c>
      <c r="E10" s="6">
        <f>T3Data!J9</f>
        <v>25282600</v>
      </c>
      <c r="F10" s="8">
        <f>T3Data!L9</f>
        <v>330000</v>
      </c>
      <c r="G10">
        <v>1</v>
      </c>
      <c r="H10">
        <v>999</v>
      </c>
      <c r="I10">
        <v>5</v>
      </c>
      <c r="J10">
        <f t="shared" si="0"/>
        <v>999</v>
      </c>
      <c r="K10">
        <f t="shared" si="1"/>
        <v>5</v>
      </c>
      <c r="L10">
        <v>20</v>
      </c>
    </row>
    <row r="11" spans="1:12" x14ac:dyDescent="0.35">
      <c r="A11">
        <v>6</v>
      </c>
      <c r="B11" t="s">
        <v>14</v>
      </c>
      <c r="C11" t="s">
        <v>47</v>
      </c>
      <c r="D11" t="s">
        <v>42</v>
      </c>
      <c r="E11" s="6">
        <v>255229.08364800003</v>
      </c>
      <c r="F11" s="8">
        <v>2154155.1360000004</v>
      </c>
    </row>
    <row r="12" spans="1:12" hidden="1" x14ac:dyDescent="0.35">
      <c r="A12">
        <v>0</v>
      </c>
      <c r="B12" t="s">
        <v>14</v>
      </c>
      <c r="C12" t="s">
        <v>25</v>
      </c>
      <c r="D12" t="s">
        <v>42</v>
      </c>
      <c r="E12" s="6">
        <v>285973.99142400001</v>
      </c>
      <c r="F12" s="8">
        <v>2413644.7680000002</v>
      </c>
    </row>
    <row r="13" spans="1:12" hidden="1" x14ac:dyDescent="0.35">
      <c r="A13">
        <v>0</v>
      </c>
      <c r="B13" t="s">
        <v>14</v>
      </c>
      <c r="C13" t="s">
        <v>19</v>
      </c>
      <c r="D13" t="s">
        <v>42</v>
      </c>
      <c r="E13" s="6">
        <v>263005.43385600002</v>
      </c>
      <c r="F13" s="8">
        <v>2219788.1920000003</v>
      </c>
    </row>
    <row r="14" spans="1:12" hidden="1" x14ac:dyDescent="0.35">
      <c r="A14">
        <v>0</v>
      </c>
      <c r="B14" t="s">
        <v>14</v>
      </c>
      <c r="C14" t="s">
        <v>18</v>
      </c>
      <c r="D14" t="s">
        <v>42</v>
      </c>
      <c r="E14" s="6">
        <v>334022.56588800001</v>
      </c>
      <c r="F14" s="8">
        <v>2819178.8160000006</v>
      </c>
    </row>
    <row r="15" spans="1:12" hidden="1" x14ac:dyDescent="0.35">
      <c r="A15">
        <v>0</v>
      </c>
      <c r="B15" t="s">
        <v>17</v>
      </c>
      <c r="C15" t="s">
        <v>15</v>
      </c>
      <c r="D15" t="s">
        <v>42</v>
      </c>
      <c r="E15" s="6">
        <v>133176.43468800001</v>
      </c>
      <c r="F15" s="8">
        <v>1124020.4160000002</v>
      </c>
    </row>
    <row r="16" spans="1:12" x14ac:dyDescent="0.35">
      <c r="A16">
        <v>1</v>
      </c>
      <c r="B16" t="s">
        <v>17</v>
      </c>
      <c r="C16" t="s">
        <v>27</v>
      </c>
      <c r="D16" t="s">
        <v>42</v>
      </c>
      <c r="E16" s="6">
        <v>70579.390464000011</v>
      </c>
      <c r="F16" s="8">
        <v>595696.04800000007</v>
      </c>
    </row>
    <row r="17" spans="1:6" hidden="1" x14ac:dyDescent="0.35">
      <c r="A17">
        <v>0</v>
      </c>
      <c r="B17" t="s">
        <v>17</v>
      </c>
      <c r="C17" t="s">
        <v>32</v>
      </c>
      <c r="D17" t="s">
        <v>42</v>
      </c>
      <c r="E17" s="6">
        <v>383950.85414400004</v>
      </c>
      <c r="F17" s="8">
        <v>3240577.8080000007</v>
      </c>
    </row>
    <row r="18" spans="1:6" hidden="1" x14ac:dyDescent="0.35">
      <c r="A18">
        <v>0</v>
      </c>
      <c r="B18" t="s">
        <v>17</v>
      </c>
      <c r="C18" t="s">
        <v>31</v>
      </c>
      <c r="D18" t="s">
        <v>42</v>
      </c>
      <c r="E18" s="6">
        <v>259606.49932800001</v>
      </c>
      <c r="F18" s="8">
        <v>2191100.8960000002</v>
      </c>
    </row>
    <row r="19" spans="1:6" hidden="1" x14ac:dyDescent="0.35">
      <c r="A19">
        <v>0</v>
      </c>
      <c r="B19" t="s">
        <v>28</v>
      </c>
      <c r="C19" t="s">
        <v>39</v>
      </c>
      <c r="D19" t="s">
        <v>42</v>
      </c>
      <c r="E19" s="6">
        <v>27011.229696000002</v>
      </c>
      <c r="F19" s="8">
        <v>227977.07200000004</v>
      </c>
    </row>
    <row r="20" spans="1:6" hidden="1" x14ac:dyDescent="0.35">
      <c r="A20">
        <v>0</v>
      </c>
      <c r="B20" t="s">
        <v>28</v>
      </c>
      <c r="C20" t="s">
        <v>27</v>
      </c>
      <c r="D20" t="s">
        <v>42</v>
      </c>
      <c r="E20" s="6">
        <v>57138.149376000001</v>
      </c>
      <c r="F20" s="8">
        <v>482250.83200000005</v>
      </c>
    </row>
    <row r="21" spans="1:6" hidden="1" x14ac:dyDescent="0.35">
      <c r="A21">
        <v>0</v>
      </c>
      <c r="B21" t="s">
        <v>28</v>
      </c>
      <c r="C21" t="s">
        <v>32</v>
      </c>
      <c r="D21" t="s">
        <v>42</v>
      </c>
      <c r="E21" s="6">
        <v>263597.672448</v>
      </c>
      <c r="F21" s="8">
        <v>2224786.7360000005</v>
      </c>
    </row>
    <row r="22" spans="1:6" hidden="1" x14ac:dyDescent="0.35">
      <c r="A22">
        <v>0</v>
      </c>
      <c r="B22" t="s">
        <v>28</v>
      </c>
      <c r="C22" t="s">
        <v>29</v>
      </c>
      <c r="D22" t="s">
        <v>42</v>
      </c>
      <c r="E22" s="6">
        <v>238543.40505600002</v>
      </c>
      <c r="F22" s="8">
        <v>2013326.5920000002</v>
      </c>
    </row>
    <row r="23" spans="1:6" hidden="1" x14ac:dyDescent="0.35">
      <c r="A23">
        <v>0</v>
      </c>
      <c r="B23" t="s">
        <v>15</v>
      </c>
      <c r="C23" t="s">
        <v>17</v>
      </c>
      <c r="D23" t="s">
        <v>42</v>
      </c>
      <c r="E23" s="6">
        <v>133176.43468800001</v>
      </c>
      <c r="F23" s="8">
        <v>1124020.4160000002</v>
      </c>
    </row>
    <row r="24" spans="1:6" x14ac:dyDescent="0.35">
      <c r="A24">
        <v>1</v>
      </c>
      <c r="B24" t="s">
        <v>15</v>
      </c>
      <c r="C24" t="s">
        <v>45</v>
      </c>
      <c r="D24" t="s">
        <v>42</v>
      </c>
      <c r="E24" s="6">
        <v>106783.193088</v>
      </c>
      <c r="F24" s="8">
        <v>901259.21600000013</v>
      </c>
    </row>
    <row r="25" spans="1:6" hidden="1" x14ac:dyDescent="0.35">
      <c r="A25">
        <v>0</v>
      </c>
      <c r="B25" t="s">
        <v>15</v>
      </c>
      <c r="C25" t="s">
        <v>44</v>
      </c>
      <c r="D25" t="s">
        <v>42</v>
      </c>
      <c r="E25" s="6">
        <v>222243.96902400002</v>
      </c>
      <c r="F25" s="8">
        <v>1875757.9680000003</v>
      </c>
    </row>
    <row r="26" spans="1:6" hidden="1" x14ac:dyDescent="0.35">
      <c r="A26">
        <v>0</v>
      </c>
      <c r="B26" t="s">
        <v>15</v>
      </c>
      <c r="C26" t="s">
        <v>47</v>
      </c>
      <c r="D26" t="s">
        <v>42</v>
      </c>
      <c r="E26" s="6">
        <v>271013.52960000001</v>
      </c>
      <c r="F26" s="8">
        <v>2287377.2000000002</v>
      </c>
    </row>
    <row r="27" spans="1:6" hidden="1" x14ac:dyDescent="0.35">
      <c r="A27">
        <v>0</v>
      </c>
      <c r="B27" t="s">
        <v>15</v>
      </c>
      <c r="C27" t="s">
        <v>31</v>
      </c>
      <c r="D27" t="s">
        <v>42</v>
      </c>
      <c r="E27" s="6">
        <v>274644.20966400002</v>
      </c>
      <c r="F27" s="8">
        <v>2318020.4480000003</v>
      </c>
    </row>
    <row r="28" spans="1:6" x14ac:dyDescent="0.35">
      <c r="A28">
        <v>26</v>
      </c>
      <c r="B28" t="s">
        <v>39</v>
      </c>
      <c r="C28" t="s">
        <v>28</v>
      </c>
      <c r="D28" t="s">
        <v>42</v>
      </c>
      <c r="E28" s="6">
        <v>27011.229696000002</v>
      </c>
      <c r="F28" s="8">
        <v>227977.07200000004</v>
      </c>
    </row>
    <row r="29" spans="1:6" x14ac:dyDescent="0.35">
      <c r="A29">
        <v>84</v>
      </c>
      <c r="B29" t="s">
        <v>39</v>
      </c>
      <c r="C29" t="s">
        <v>27</v>
      </c>
      <c r="D29" t="s">
        <v>41</v>
      </c>
      <c r="E29" s="6">
        <v>305698.11148800002</v>
      </c>
      <c r="F29" s="8">
        <v>74081.279999999999</v>
      </c>
    </row>
    <row r="30" spans="1:6" hidden="1" x14ac:dyDescent="0.35">
      <c r="A30">
        <v>0</v>
      </c>
      <c r="B30" t="s">
        <v>39</v>
      </c>
      <c r="C30" t="s">
        <v>27</v>
      </c>
      <c r="D30" t="s">
        <v>42</v>
      </c>
      <c r="E30" s="6">
        <v>80518.699008000011</v>
      </c>
      <c r="F30" s="8">
        <v>679584.65600000008</v>
      </c>
    </row>
    <row r="31" spans="1:6" x14ac:dyDescent="0.35">
      <c r="A31">
        <v>34</v>
      </c>
      <c r="B31" t="s">
        <v>39</v>
      </c>
      <c r="C31" t="s">
        <v>26</v>
      </c>
      <c r="D31" t="s">
        <v>41</v>
      </c>
      <c r="E31" s="6">
        <v>844068.74112000002</v>
      </c>
      <c r="F31" s="8">
        <v>204547.20000000001</v>
      </c>
    </row>
    <row r="32" spans="1:6" hidden="1" x14ac:dyDescent="0.35">
      <c r="A32">
        <v>0</v>
      </c>
      <c r="B32" t="s">
        <v>39</v>
      </c>
      <c r="C32" t="s">
        <v>31</v>
      </c>
      <c r="D32" t="s">
        <v>42</v>
      </c>
      <c r="E32" s="6">
        <v>269571.55737600004</v>
      </c>
      <c r="F32" s="8">
        <v>2275206.8320000004</v>
      </c>
    </row>
    <row r="33" spans="1:6" hidden="1" x14ac:dyDescent="0.35">
      <c r="A33">
        <v>0</v>
      </c>
      <c r="B33" t="s">
        <v>45</v>
      </c>
      <c r="C33" t="s">
        <v>15</v>
      </c>
      <c r="D33" t="s">
        <v>42</v>
      </c>
      <c r="E33" s="6">
        <v>106783.193088</v>
      </c>
      <c r="F33" s="8">
        <v>901259.21600000013</v>
      </c>
    </row>
    <row r="34" spans="1:6" hidden="1" x14ac:dyDescent="0.35">
      <c r="A34">
        <v>0</v>
      </c>
      <c r="B34" t="s">
        <v>45</v>
      </c>
      <c r="C34" t="s">
        <v>44</v>
      </c>
      <c r="D34" t="s">
        <v>42</v>
      </c>
      <c r="E34" s="6">
        <v>194254.258176</v>
      </c>
      <c r="F34" s="8">
        <v>1639522.4320000003</v>
      </c>
    </row>
    <row r="35" spans="1:6" hidden="1" x14ac:dyDescent="0.35">
      <c r="A35">
        <v>0</v>
      </c>
      <c r="B35" t="s">
        <v>45</v>
      </c>
      <c r="C35" t="s">
        <v>47</v>
      </c>
      <c r="D35" t="s">
        <v>42</v>
      </c>
      <c r="E35" s="6">
        <v>211892.668416</v>
      </c>
      <c r="F35" s="8">
        <v>1788392.1120000002</v>
      </c>
    </row>
    <row r="36" spans="1:6" hidden="1" x14ac:dyDescent="0.35">
      <c r="A36">
        <v>0</v>
      </c>
      <c r="B36" t="s">
        <v>44</v>
      </c>
      <c r="C36" t="s">
        <v>15</v>
      </c>
      <c r="D36" t="s">
        <v>42</v>
      </c>
      <c r="E36" s="6">
        <v>222243.96902400002</v>
      </c>
      <c r="F36" s="8">
        <v>1875757.9680000003</v>
      </c>
    </row>
    <row r="37" spans="1:6" x14ac:dyDescent="0.35">
      <c r="A37">
        <v>4</v>
      </c>
      <c r="B37" t="s">
        <v>44</v>
      </c>
      <c r="C37" t="s">
        <v>45</v>
      </c>
      <c r="D37" t="s">
        <v>42</v>
      </c>
      <c r="E37" s="6">
        <v>194254.258176</v>
      </c>
      <c r="F37" s="8">
        <v>1639522.4320000003</v>
      </c>
    </row>
    <row r="38" spans="1:6" x14ac:dyDescent="0.35">
      <c r="A38">
        <v>11</v>
      </c>
      <c r="B38" t="s">
        <v>44</v>
      </c>
      <c r="C38" t="s">
        <v>47</v>
      </c>
      <c r="D38" t="s">
        <v>42</v>
      </c>
      <c r="E38" s="6">
        <v>349549.51680000004</v>
      </c>
      <c r="F38" s="8">
        <v>2950227.6000000006</v>
      </c>
    </row>
    <row r="39" spans="1:6" x14ac:dyDescent="0.35">
      <c r="A39">
        <v>4</v>
      </c>
      <c r="B39" t="s">
        <v>44</v>
      </c>
      <c r="C39" t="s">
        <v>31</v>
      </c>
      <c r="D39" t="s">
        <v>42</v>
      </c>
      <c r="E39" s="6">
        <v>359334.32832000003</v>
      </c>
      <c r="F39" s="8">
        <v>3032812.24</v>
      </c>
    </row>
    <row r="40" spans="1:6" hidden="1" x14ac:dyDescent="0.35">
      <c r="A40">
        <v>0</v>
      </c>
      <c r="B40" t="s">
        <v>47</v>
      </c>
      <c r="C40" t="s">
        <v>14</v>
      </c>
      <c r="D40" t="s">
        <v>42</v>
      </c>
      <c r="E40" s="6">
        <v>255229.08364800003</v>
      </c>
      <c r="F40" s="8">
        <v>2154155.1360000004</v>
      </c>
    </row>
    <row r="41" spans="1:6" hidden="1" x14ac:dyDescent="0.35">
      <c r="A41">
        <v>0</v>
      </c>
      <c r="B41" t="s">
        <v>47</v>
      </c>
      <c r="C41" t="s">
        <v>15</v>
      </c>
      <c r="D41" t="s">
        <v>42</v>
      </c>
      <c r="E41" s="6">
        <v>271013.52960000001</v>
      </c>
      <c r="F41" s="8">
        <v>2287377.2000000002</v>
      </c>
    </row>
    <row r="42" spans="1:6" hidden="1" x14ac:dyDescent="0.35">
      <c r="A42">
        <v>0</v>
      </c>
      <c r="B42" t="s">
        <v>47</v>
      </c>
      <c r="C42" t="s">
        <v>45</v>
      </c>
      <c r="D42" t="s">
        <v>42</v>
      </c>
      <c r="E42" s="6">
        <v>211892.668416</v>
      </c>
      <c r="F42" s="8">
        <v>1788392.1120000002</v>
      </c>
    </row>
    <row r="43" spans="1:6" hidden="1" x14ac:dyDescent="0.35">
      <c r="A43">
        <v>0</v>
      </c>
      <c r="B43" t="s">
        <v>47</v>
      </c>
      <c r="C43" t="s">
        <v>44</v>
      </c>
      <c r="D43" t="s">
        <v>42</v>
      </c>
      <c r="E43" s="6">
        <v>349549.51680000004</v>
      </c>
      <c r="F43" s="8">
        <v>2950227.6000000006</v>
      </c>
    </row>
    <row r="44" spans="1:6" hidden="1" x14ac:dyDescent="0.35">
      <c r="A44">
        <v>0</v>
      </c>
      <c r="B44" t="s">
        <v>47</v>
      </c>
      <c r="C44" t="s">
        <v>25</v>
      </c>
      <c r="D44" t="s">
        <v>41</v>
      </c>
      <c r="E44" s="6">
        <v>106396.950528</v>
      </c>
      <c r="F44" s="8">
        <v>25783.68</v>
      </c>
    </row>
    <row r="45" spans="1:6" hidden="1" x14ac:dyDescent="0.35">
      <c r="A45">
        <v>0</v>
      </c>
      <c r="B45" t="s">
        <v>47</v>
      </c>
      <c r="C45" t="s">
        <v>25</v>
      </c>
      <c r="D45" t="s">
        <v>42</v>
      </c>
      <c r="E45" s="6">
        <v>108637.157376</v>
      </c>
      <c r="F45" s="8">
        <v>916906.83200000017</v>
      </c>
    </row>
    <row r="46" spans="1:6" hidden="1" x14ac:dyDescent="0.35">
      <c r="A46">
        <v>0</v>
      </c>
      <c r="B46" t="s">
        <v>47</v>
      </c>
      <c r="C46" t="s">
        <v>16</v>
      </c>
      <c r="D46" t="s">
        <v>41</v>
      </c>
      <c r="E46" s="6">
        <v>47482.085376000003</v>
      </c>
      <c r="F46" s="8">
        <v>11506.56</v>
      </c>
    </row>
    <row r="47" spans="1:6" hidden="1" x14ac:dyDescent="0.35">
      <c r="A47">
        <v>0</v>
      </c>
      <c r="B47" t="s">
        <v>47</v>
      </c>
      <c r="C47" t="s">
        <v>18</v>
      </c>
      <c r="D47" t="s">
        <v>42</v>
      </c>
      <c r="E47" s="6">
        <v>286308.73497600004</v>
      </c>
      <c r="F47" s="8">
        <v>2416470.0320000001</v>
      </c>
    </row>
    <row r="48" spans="1:6" hidden="1" x14ac:dyDescent="0.35">
      <c r="A48">
        <v>0</v>
      </c>
      <c r="B48" t="s">
        <v>27</v>
      </c>
      <c r="C48" t="s">
        <v>17</v>
      </c>
      <c r="D48" t="s">
        <v>42</v>
      </c>
      <c r="E48" s="6">
        <v>70579.390464000011</v>
      </c>
      <c r="F48" s="8">
        <v>595696.04800000007</v>
      </c>
    </row>
    <row r="49" spans="1:6" hidden="1" x14ac:dyDescent="0.35">
      <c r="A49">
        <v>0</v>
      </c>
      <c r="B49" t="s">
        <v>27</v>
      </c>
      <c r="C49" t="s">
        <v>28</v>
      </c>
      <c r="D49" t="s">
        <v>42</v>
      </c>
      <c r="E49" s="6">
        <v>57138.149376000001</v>
      </c>
      <c r="F49" s="8">
        <v>482250.83200000005</v>
      </c>
    </row>
    <row r="50" spans="1:6" hidden="1" x14ac:dyDescent="0.35">
      <c r="A50">
        <v>0</v>
      </c>
      <c r="B50" t="s">
        <v>27</v>
      </c>
      <c r="C50" t="s">
        <v>39</v>
      </c>
      <c r="D50" t="s">
        <v>41</v>
      </c>
      <c r="E50" s="6">
        <v>305698.11148800002</v>
      </c>
      <c r="F50" s="8">
        <v>74081.279999999999</v>
      </c>
    </row>
    <row r="51" spans="1:6" hidden="1" x14ac:dyDescent="0.35">
      <c r="A51">
        <v>0</v>
      </c>
      <c r="B51" t="s">
        <v>27</v>
      </c>
      <c r="C51" t="s">
        <v>39</v>
      </c>
      <c r="D51" t="s">
        <v>42</v>
      </c>
      <c r="E51" s="6">
        <v>80518.699008000011</v>
      </c>
      <c r="F51" s="8">
        <v>679584.65600000008</v>
      </c>
    </row>
    <row r="52" spans="1:6" hidden="1" x14ac:dyDescent="0.35">
      <c r="A52">
        <v>0</v>
      </c>
      <c r="B52" t="s">
        <v>27</v>
      </c>
      <c r="C52" t="s">
        <v>32</v>
      </c>
      <c r="D52" t="s">
        <v>42</v>
      </c>
      <c r="E52" s="6">
        <v>323310.77222400001</v>
      </c>
      <c r="F52" s="8">
        <v>2728770.3680000002</v>
      </c>
    </row>
    <row r="53" spans="1:6" hidden="1" x14ac:dyDescent="0.35">
      <c r="A53">
        <v>0</v>
      </c>
      <c r="B53" t="s">
        <v>32</v>
      </c>
      <c r="C53" t="s">
        <v>17</v>
      </c>
      <c r="D53" t="s">
        <v>42</v>
      </c>
      <c r="E53" s="6">
        <v>383950.85414400004</v>
      </c>
      <c r="F53" s="8">
        <v>3240577.8080000007</v>
      </c>
    </row>
    <row r="54" spans="1:6" hidden="1" x14ac:dyDescent="0.35">
      <c r="A54">
        <v>0</v>
      </c>
      <c r="B54" t="s">
        <v>32</v>
      </c>
      <c r="C54" t="s">
        <v>28</v>
      </c>
      <c r="D54" t="s">
        <v>42</v>
      </c>
      <c r="E54" s="6">
        <v>263597.672448</v>
      </c>
      <c r="F54" s="8">
        <v>2224786.7360000005</v>
      </c>
    </row>
    <row r="55" spans="1:6" hidden="1" x14ac:dyDescent="0.35">
      <c r="A55">
        <v>0</v>
      </c>
      <c r="B55" t="s">
        <v>32</v>
      </c>
      <c r="C55" t="s">
        <v>27</v>
      </c>
      <c r="D55" t="s">
        <v>42</v>
      </c>
      <c r="E55" s="6">
        <v>323310.77222400001</v>
      </c>
      <c r="F55" s="8">
        <v>2728770.3680000002</v>
      </c>
    </row>
    <row r="56" spans="1:6" hidden="1" x14ac:dyDescent="0.35">
      <c r="A56">
        <v>0</v>
      </c>
      <c r="B56" t="s">
        <v>32</v>
      </c>
      <c r="C56" t="s">
        <v>30</v>
      </c>
      <c r="D56" t="s">
        <v>41</v>
      </c>
      <c r="E56" s="6">
        <v>471215.92320000002</v>
      </c>
      <c r="F56" s="8">
        <v>114192</v>
      </c>
    </row>
    <row r="57" spans="1:6" hidden="1" x14ac:dyDescent="0.35">
      <c r="A57">
        <v>0</v>
      </c>
      <c r="B57" t="s">
        <v>32</v>
      </c>
      <c r="C57" t="s">
        <v>19</v>
      </c>
      <c r="D57" t="s">
        <v>41</v>
      </c>
      <c r="E57" s="6">
        <v>401074.27430400002</v>
      </c>
      <c r="F57" s="8">
        <v>97194.240000000005</v>
      </c>
    </row>
    <row r="58" spans="1:6" hidden="1" x14ac:dyDescent="0.35">
      <c r="A58">
        <v>0</v>
      </c>
      <c r="B58" t="s">
        <v>32</v>
      </c>
      <c r="C58" t="s">
        <v>29</v>
      </c>
      <c r="D58" t="s">
        <v>41</v>
      </c>
      <c r="E58" s="6">
        <v>188177.37523200002</v>
      </c>
      <c r="F58" s="8">
        <v>45601.919999999998</v>
      </c>
    </row>
    <row r="59" spans="1:6" hidden="1" x14ac:dyDescent="0.35">
      <c r="A59">
        <v>0</v>
      </c>
      <c r="B59" t="s">
        <v>32</v>
      </c>
      <c r="C59" t="s">
        <v>29</v>
      </c>
      <c r="D59" t="s">
        <v>42</v>
      </c>
      <c r="E59" s="6">
        <v>59610.101760000005</v>
      </c>
      <c r="F59" s="8">
        <v>503114.32000000007</v>
      </c>
    </row>
    <row r="60" spans="1:6" hidden="1" x14ac:dyDescent="0.35">
      <c r="A60">
        <v>0</v>
      </c>
      <c r="B60" t="s">
        <v>32</v>
      </c>
      <c r="C60" t="s">
        <v>31</v>
      </c>
      <c r="D60" t="s">
        <v>42</v>
      </c>
      <c r="E60" s="6">
        <v>341953.41312000004</v>
      </c>
      <c r="F60" s="8">
        <v>2886115.8400000003</v>
      </c>
    </row>
    <row r="61" spans="1:6" hidden="1" x14ac:dyDescent="0.35">
      <c r="A61">
        <v>0</v>
      </c>
      <c r="B61" t="s">
        <v>32</v>
      </c>
      <c r="C61" t="s">
        <v>18</v>
      </c>
      <c r="D61" t="s">
        <v>41</v>
      </c>
      <c r="E61" s="6">
        <v>319499.84563200001</v>
      </c>
      <c r="F61" s="8">
        <v>77425.919999999998</v>
      </c>
    </row>
    <row r="62" spans="1:6" hidden="1" x14ac:dyDescent="0.35">
      <c r="A62">
        <v>0</v>
      </c>
      <c r="B62" t="s">
        <v>25</v>
      </c>
      <c r="C62" t="s">
        <v>14</v>
      </c>
      <c r="D62" t="s">
        <v>42</v>
      </c>
      <c r="E62" s="6">
        <v>285973.99142400001</v>
      </c>
      <c r="F62" s="8">
        <v>2413644.7680000002</v>
      </c>
    </row>
    <row r="63" spans="1:6" x14ac:dyDescent="0.35">
      <c r="A63">
        <v>31</v>
      </c>
      <c r="B63" t="s">
        <v>25</v>
      </c>
      <c r="C63" t="s">
        <v>47</v>
      </c>
      <c r="D63" t="s">
        <v>41</v>
      </c>
      <c r="E63" s="6">
        <v>106396.950528</v>
      </c>
      <c r="F63" s="8">
        <v>25783.68</v>
      </c>
    </row>
    <row r="64" spans="1:6" hidden="1" x14ac:dyDescent="0.35">
      <c r="A64">
        <v>0</v>
      </c>
      <c r="B64" t="s">
        <v>25</v>
      </c>
      <c r="C64" t="s">
        <v>47</v>
      </c>
      <c r="D64" t="s">
        <v>42</v>
      </c>
      <c r="E64" s="6">
        <v>108637.157376</v>
      </c>
      <c r="F64" s="8">
        <v>916906.83200000017</v>
      </c>
    </row>
    <row r="65" spans="1:6" hidden="1" x14ac:dyDescent="0.35">
      <c r="A65">
        <v>0</v>
      </c>
      <c r="B65" t="s">
        <v>25</v>
      </c>
      <c r="C65" t="s">
        <v>30</v>
      </c>
      <c r="D65" t="s">
        <v>42</v>
      </c>
      <c r="E65" s="6">
        <v>175354.12224000003</v>
      </c>
      <c r="F65" s="8">
        <v>1480003.6800000002</v>
      </c>
    </row>
    <row r="66" spans="1:6" x14ac:dyDescent="0.35">
      <c r="A66">
        <v>46</v>
      </c>
      <c r="B66" t="s">
        <v>25</v>
      </c>
      <c r="C66" t="s">
        <v>16</v>
      </c>
      <c r="D66" t="s">
        <v>41</v>
      </c>
      <c r="E66" s="6">
        <v>94037.188608000011</v>
      </c>
      <c r="F66" s="8">
        <v>22788.48</v>
      </c>
    </row>
    <row r="67" spans="1:6" hidden="1" x14ac:dyDescent="0.35">
      <c r="A67">
        <v>0</v>
      </c>
      <c r="B67" t="s">
        <v>25</v>
      </c>
      <c r="C67" t="s">
        <v>19</v>
      </c>
      <c r="D67" t="s">
        <v>42</v>
      </c>
      <c r="E67" s="6">
        <v>177697.32710400003</v>
      </c>
      <c r="F67" s="8">
        <v>1499780.5280000002</v>
      </c>
    </row>
    <row r="68" spans="1:6" hidden="1" x14ac:dyDescent="0.35">
      <c r="A68">
        <v>0</v>
      </c>
      <c r="B68" t="s">
        <v>25</v>
      </c>
      <c r="C68" t="s">
        <v>18</v>
      </c>
      <c r="D68" t="s">
        <v>42</v>
      </c>
      <c r="E68" s="6">
        <v>267537.34656000003</v>
      </c>
      <c r="F68" s="8">
        <v>2258037.9200000004</v>
      </c>
    </row>
    <row r="69" spans="1:6" hidden="1" x14ac:dyDescent="0.35">
      <c r="A69">
        <v>0</v>
      </c>
      <c r="B69" t="s">
        <v>30</v>
      </c>
      <c r="C69" t="s">
        <v>32</v>
      </c>
      <c r="D69" t="s">
        <v>41</v>
      </c>
      <c r="E69" s="6">
        <v>471215.92320000002</v>
      </c>
      <c r="F69" s="8">
        <v>114192</v>
      </c>
    </row>
    <row r="70" spans="1:6" hidden="1" x14ac:dyDescent="0.35">
      <c r="A70">
        <v>0</v>
      </c>
      <c r="B70" t="s">
        <v>30</v>
      </c>
      <c r="C70" t="s">
        <v>25</v>
      </c>
      <c r="D70" t="s">
        <v>42</v>
      </c>
      <c r="E70" s="6">
        <v>175354.12224000003</v>
      </c>
      <c r="F70" s="8">
        <v>1480003.6800000002</v>
      </c>
    </row>
    <row r="71" spans="1:6" hidden="1" x14ac:dyDescent="0.35">
      <c r="A71">
        <v>0</v>
      </c>
      <c r="B71" t="s">
        <v>30</v>
      </c>
      <c r="C71" t="s">
        <v>19</v>
      </c>
      <c r="D71" t="s">
        <v>41</v>
      </c>
      <c r="E71" s="6">
        <v>192503.29190400001</v>
      </c>
      <c r="F71" s="8">
        <v>46650.239999999998</v>
      </c>
    </row>
    <row r="72" spans="1:6" hidden="1" x14ac:dyDescent="0.35">
      <c r="A72">
        <v>0</v>
      </c>
      <c r="B72" t="s">
        <v>30</v>
      </c>
      <c r="C72" t="s">
        <v>19</v>
      </c>
      <c r="D72" t="s">
        <v>42</v>
      </c>
      <c r="E72" s="6">
        <v>105238.222848</v>
      </c>
      <c r="F72" s="8">
        <v>888219.53600000008</v>
      </c>
    </row>
    <row r="73" spans="1:6" hidden="1" x14ac:dyDescent="0.35">
      <c r="A73">
        <v>0</v>
      </c>
      <c r="B73" t="s">
        <v>30</v>
      </c>
      <c r="C73" t="s">
        <v>29</v>
      </c>
      <c r="D73" t="s">
        <v>41</v>
      </c>
      <c r="E73" s="6">
        <v>487386.61171200004</v>
      </c>
      <c r="F73" s="8">
        <v>118110.72</v>
      </c>
    </row>
    <row r="74" spans="1:6" hidden="1" x14ac:dyDescent="0.35">
      <c r="A74">
        <v>0</v>
      </c>
      <c r="B74" t="s">
        <v>26</v>
      </c>
      <c r="C74" t="s">
        <v>39</v>
      </c>
      <c r="D74" t="s">
        <v>41</v>
      </c>
      <c r="E74" s="6">
        <v>844068.74112000002</v>
      </c>
      <c r="F74" s="8">
        <v>204547.20000000001</v>
      </c>
    </row>
    <row r="75" spans="1:6" x14ac:dyDescent="0.35">
      <c r="A75">
        <v>25</v>
      </c>
      <c r="B75" t="s">
        <v>26</v>
      </c>
      <c r="C75" t="s">
        <v>16</v>
      </c>
      <c r="D75" t="s">
        <v>41</v>
      </c>
      <c r="E75" s="6">
        <v>243178.315776</v>
      </c>
      <c r="F75" s="8">
        <v>58930.560000000005</v>
      </c>
    </row>
    <row r="76" spans="1:6" hidden="1" x14ac:dyDescent="0.35">
      <c r="A76">
        <v>0</v>
      </c>
      <c r="B76" t="s">
        <v>16</v>
      </c>
      <c r="C76" t="s">
        <v>47</v>
      </c>
      <c r="D76" t="s">
        <v>41</v>
      </c>
      <c r="E76" s="6">
        <v>47482.085376000003</v>
      </c>
      <c r="F76" s="8">
        <v>11506.56</v>
      </c>
    </row>
    <row r="77" spans="1:6" hidden="1" x14ac:dyDescent="0.35">
      <c r="A77">
        <v>0</v>
      </c>
      <c r="B77" t="s">
        <v>16</v>
      </c>
      <c r="C77" t="s">
        <v>25</v>
      </c>
      <c r="D77" t="s">
        <v>41</v>
      </c>
      <c r="E77" s="6">
        <v>94037.188608000011</v>
      </c>
      <c r="F77" s="8">
        <v>22788.48</v>
      </c>
    </row>
    <row r="78" spans="1:6" hidden="1" x14ac:dyDescent="0.35">
      <c r="A78">
        <v>0</v>
      </c>
      <c r="B78" t="s">
        <v>16</v>
      </c>
      <c r="C78" t="s">
        <v>26</v>
      </c>
      <c r="D78" t="s">
        <v>41</v>
      </c>
      <c r="E78" s="6">
        <v>243178.315776</v>
      </c>
      <c r="F78" s="8">
        <v>58930.560000000005</v>
      </c>
    </row>
    <row r="79" spans="1:6" hidden="1" x14ac:dyDescent="0.35">
      <c r="A79">
        <v>0</v>
      </c>
      <c r="B79" t="s">
        <v>19</v>
      </c>
      <c r="C79" t="s">
        <v>14</v>
      </c>
      <c r="D79" t="s">
        <v>42</v>
      </c>
      <c r="E79" s="6">
        <v>263005.43385600002</v>
      </c>
      <c r="F79" s="8">
        <v>2219788.1920000003</v>
      </c>
    </row>
    <row r="80" spans="1:6" hidden="1" x14ac:dyDescent="0.35">
      <c r="A80">
        <v>0</v>
      </c>
      <c r="B80" t="s">
        <v>19</v>
      </c>
      <c r="C80" t="s">
        <v>32</v>
      </c>
      <c r="D80" t="s">
        <v>41</v>
      </c>
      <c r="E80" s="6">
        <v>401074.27430400002</v>
      </c>
      <c r="F80" s="8">
        <v>97194.240000000005</v>
      </c>
    </row>
    <row r="81" spans="1:6" x14ac:dyDescent="0.35">
      <c r="A81">
        <v>128</v>
      </c>
      <c r="B81" t="s">
        <v>19</v>
      </c>
      <c r="C81" t="s">
        <v>25</v>
      </c>
      <c r="D81" t="s">
        <v>42</v>
      </c>
      <c r="E81" s="6">
        <v>177697.32710400003</v>
      </c>
      <c r="F81" s="8">
        <v>1499780.5280000002</v>
      </c>
    </row>
    <row r="82" spans="1:6" x14ac:dyDescent="0.35">
      <c r="A82">
        <v>21</v>
      </c>
      <c r="B82" t="s">
        <v>19</v>
      </c>
      <c r="C82" t="s">
        <v>30</v>
      </c>
      <c r="D82" t="s">
        <v>41</v>
      </c>
      <c r="E82" s="6">
        <v>192503.29190400001</v>
      </c>
      <c r="F82" s="8">
        <v>46650.239999999998</v>
      </c>
    </row>
    <row r="83" spans="1:6" hidden="1" x14ac:dyDescent="0.35">
      <c r="A83">
        <v>0</v>
      </c>
      <c r="B83" t="s">
        <v>19</v>
      </c>
      <c r="C83" t="s">
        <v>30</v>
      </c>
      <c r="D83" t="s">
        <v>42</v>
      </c>
      <c r="E83" s="6">
        <v>105238.222848</v>
      </c>
      <c r="F83" s="8">
        <v>888219.53600000008</v>
      </c>
    </row>
    <row r="84" spans="1:6" x14ac:dyDescent="0.35">
      <c r="A84">
        <v>20</v>
      </c>
      <c r="B84" t="s">
        <v>19</v>
      </c>
      <c r="C84" t="s">
        <v>29</v>
      </c>
      <c r="D84" t="s">
        <v>41</v>
      </c>
      <c r="E84" s="6">
        <v>482545.70496000006</v>
      </c>
      <c r="F84" s="8">
        <v>116937.60000000001</v>
      </c>
    </row>
    <row r="85" spans="1:6" hidden="1" x14ac:dyDescent="0.35">
      <c r="A85">
        <v>0</v>
      </c>
      <c r="B85" t="s">
        <v>19</v>
      </c>
      <c r="C85" t="s">
        <v>18</v>
      </c>
      <c r="D85" t="s">
        <v>41</v>
      </c>
      <c r="E85" s="6">
        <v>267897.83961600001</v>
      </c>
      <c r="F85" s="8">
        <v>64920.959999999999</v>
      </c>
    </row>
    <row r="86" spans="1:6" hidden="1" x14ac:dyDescent="0.35">
      <c r="A86">
        <v>0</v>
      </c>
      <c r="B86" t="s">
        <v>19</v>
      </c>
      <c r="C86" t="s">
        <v>18</v>
      </c>
      <c r="D86" t="s">
        <v>42</v>
      </c>
      <c r="E86" s="6">
        <v>89788.52044800001</v>
      </c>
      <c r="F86" s="8">
        <v>757822.73600000015</v>
      </c>
    </row>
    <row r="87" spans="1:6" hidden="1" x14ac:dyDescent="0.35">
      <c r="A87">
        <v>0</v>
      </c>
      <c r="B87" t="s">
        <v>29</v>
      </c>
      <c r="C87" t="s">
        <v>28</v>
      </c>
      <c r="D87" t="s">
        <v>42</v>
      </c>
      <c r="E87" s="6">
        <v>238543.40505600002</v>
      </c>
      <c r="F87" s="8">
        <v>2013326.5920000002</v>
      </c>
    </row>
    <row r="88" spans="1:6" hidden="1" x14ac:dyDescent="0.35">
      <c r="A88">
        <v>0</v>
      </c>
      <c r="B88" t="s">
        <v>29</v>
      </c>
      <c r="C88" t="s">
        <v>32</v>
      </c>
      <c r="D88" t="s">
        <v>41</v>
      </c>
      <c r="E88" s="6">
        <v>188177.37523200002</v>
      </c>
      <c r="F88" s="8">
        <v>45601.919999999998</v>
      </c>
    </row>
    <row r="89" spans="1:6" hidden="1" x14ac:dyDescent="0.35">
      <c r="A89">
        <v>0</v>
      </c>
      <c r="B89" t="s">
        <v>29</v>
      </c>
      <c r="C89" t="s">
        <v>32</v>
      </c>
      <c r="D89" t="s">
        <v>42</v>
      </c>
      <c r="E89" s="6">
        <v>59610.101760000005</v>
      </c>
      <c r="F89" s="8">
        <v>503114.32000000007</v>
      </c>
    </row>
    <row r="90" spans="1:6" hidden="1" x14ac:dyDescent="0.35">
      <c r="A90">
        <v>0</v>
      </c>
      <c r="B90" t="s">
        <v>29</v>
      </c>
      <c r="C90" t="s">
        <v>30</v>
      </c>
      <c r="D90" t="s">
        <v>41</v>
      </c>
      <c r="E90" s="6">
        <v>487386.61171200004</v>
      </c>
      <c r="F90" s="8">
        <v>118110.72</v>
      </c>
    </row>
    <row r="91" spans="1:6" hidden="1" x14ac:dyDescent="0.35">
      <c r="A91">
        <v>0</v>
      </c>
      <c r="B91" t="s">
        <v>29</v>
      </c>
      <c r="C91" t="s">
        <v>19</v>
      </c>
      <c r="D91" t="s">
        <v>41</v>
      </c>
      <c r="E91" s="6">
        <v>482545.70496000006</v>
      </c>
      <c r="F91" s="8">
        <v>116937.60000000001</v>
      </c>
    </row>
    <row r="92" spans="1:6" hidden="1" x14ac:dyDescent="0.35">
      <c r="A92">
        <v>0</v>
      </c>
      <c r="B92" t="s">
        <v>31</v>
      </c>
      <c r="C92" t="s">
        <v>17</v>
      </c>
      <c r="D92" t="s">
        <v>42</v>
      </c>
      <c r="E92" s="6">
        <v>259606.49932800001</v>
      </c>
      <c r="F92" s="8">
        <v>2191100.8960000002</v>
      </c>
    </row>
    <row r="93" spans="1:6" hidden="1" x14ac:dyDescent="0.35">
      <c r="A93">
        <v>0</v>
      </c>
      <c r="B93" t="s">
        <v>31</v>
      </c>
      <c r="C93" t="s">
        <v>15</v>
      </c>
      <c r="D93" t="s">
        <v>42</v>
      </c>
      <c r="E93" s="6">
        <v>274644.20966400002</v>
      </c>
      <c r="F93" s="8">
        <v>2318020.4480000003</v>
      </c>
    </row>
    <row r="94" spans="1:6" hidden="1" x14ac:dyDescent="0.35">
      <c r="A94">
        <v>0</v>
      </c>
      <c r="B94" t="s">
        <v>31</v>
      </c>
      <c r="C94" t="s">
        <v>39</v>
      </c>
      <c r="D94" t="s">
        <v>42</v>
      </c>
      <c r="E94" s="6">
        <v>269571.55737600004</v>
      </c>
      <c r="F94" s="8">
        <v>2275206.8320000004</v>
      </c>
    </row>
    <row r="95" spans="1:6" hidden="1" x14ac:dyDescent="0.35">
      <c r="A95">
        <v>0</v>
      </c>
      <c r="B95" t="s">
        <v>31</v>
      </c>
      <c r="C95" t="s">
        <v>44</v>
      </c>
      <c r="D95" t="s">
        <v>42</v>
      </c>
      <c r="E95" s="6">
        <v>359334.32832000003</v>
      </c>
      <c r="F95" s="8">
        <v>3032812.24</v>
      </c>
    </row>
    <row r="96" spans="1:6" hidden="1" x14ac:dyDescent="0.35">
      <c r="A96">
        <v>0</v>
      </c>
      <c r="B96" t="s">
        <v>31</v>
      </c>
      <c r="C96" t="s">
        <v>32</v>
      </c>
      <c r="D96" t="s">
        <v>42</v>
      </c>
      <c r="E96" s="6">
        <v>341953.41312000004</v>
      </c>
      <c r="F96" s="8">
        <v>2886115.8400000003</v>
      </c>
    </row>
    <row r="97" spans="1:15" hidden="1" x14ac:dyDescent="0.35">
      <c r="A97">
        <v>0</v>
      </c>
      <c r="B97" t="s">
        <v>18</v>
      </c>
      <c r="C97" t="s">
        <v>14</v>
      </c>
      <c r="D97" t="s">
        <v>42</v>
      </c>
      <c r="E97" s="6">
        <v>334022.56588800001</v>
      </c>
      <c r="F97" s="8">
        <v>2819178.8160000006</v>
      </c>
    </row>
    <row r="98" spans="1:15" hidden="1" x14ac:dyDescent="0.35">
      <c r="A98">
        <v>0</v>
      </c>
      <c r="B98" t="s">
        <v>18</v>
      </c>
      <c r="C98" t="s">
        <v>47</v>
      </c>
      <c r="D98" t="s">
        <v>42</v>
      </c>
      <c r="E98" s="6">
        <v>286308.73497600004</v>
      </c>
      <c r="F98" s="8">
        <v>2416470.0320000001</v>
      </c>
    </row>
    <row r="99" spans="1:15" x14ac:dyDescent="0.35">
      <c r="A99">
        <v>21</v>
      </c>
      <c r="B99" t="s">
        <v>18</v>
      </c>
      <c r="C99" t="s">
        <v>32</v>
      </c>
      <c r="D99" t="s">
        <v>41</v>
      </c>
      <c r="E99" s="6">
        <v>319499.84563200001</v>
      </c>
      <c r="F99" s="8">
        <v>77425.919999999998</v>
      </c>
    </row>
    <row r="100" spans="1:15" hidden="1" x14ac:dyDescent="0.35">
      <c r="A100">
        <v>0</v>
      </c>
      <c r="B100" t="s">
        <v>18</v>
      </c>
      <c r="C100" t="s">
        <v>25</v>
      </c>
      <c r="D100" t="s">
        <v>42</v>
      </c>
      <c r="E100" s="6">
        <v>267537.34656000003</v>
      </c>
      <c r="F100" s="8">
        <v>2258037.9200000004</v>
      </c>
    </row>
    <row r="101" spans="1:15" x14ac:dyDescent="0.35">
      <c r="A101">
        <v>44</v>
      </c>
      <c r="B101" t="s">
        <v>18</v>
      </c>
      <c r="C101" t="s">
        <v>19</v>
      </c>
      <c r="D101" t="s">
        <v>41</v>
      </c>
      <c r="E101" s="6">
        <v>267897.83961600001</v>
      </c>
      <c r="F101" s="8">
        <v>64920.959999999999</v>
      </c>
    </row>
    <row r="102" spans="1:15" hidden="1" x14ac:dyDescent="0.35">
      <c r="A102">
        <v>0</v>
      </c>
      <c r="B102" t="s">
        <v>18</v>
      </c>
      <c r="C102" t="s">
        <v>19</v>
      </c>
      <c r="D102" t="s">
        <v>42</v>
      </c>
      <c r="E102" s="6">
        <v>89788.52044800001</v>
      </c>
      <c r="F102" s="8">
        <v>757822.73600000015</v>
      </c>
    </row>
    <row r="104" spans="1:15" x14ac:dyDescent="0.35">
      <c r="G104" t="s">
        <v>53</v>
      </c>
      <c r="H104" t="s">
        <v>54</v>
      </c>
      <c r="I104" t="s">
        <v>55</v>
      </c>
      <c r="J104" t="s">
        <v>60</v>
      </c>
      <c r="M104" t="s">
        <v>4</v>
      </c>
      <c r="N104" t="s">
        <v>5</v>
      </c>
      <c r="O104" t="s">
        <v>6</v>
      </c>
    </row>
    <row r="105" spans="1:15" x14ac:dyDescent="0.35">
      <c r="G105" s="6">
        <f>SUMPRODUCT($A$3:$A$100,E3:E100)</f>
        <v>13065986318.544895</v>
      </c>
      <c r="H105" s="8">
        <f>SUMPRODUCT($A$3:$A$100,F3:F100)</f>
        <v>451885651.66400015</v>
      </c>
      <c r="I105" s="12">
        <f>G105*(1-J105)+H105*J105</f>
        <v>8861286096.2512646</v>
      </c>
      <c r="J105" s="5">
        <f>1/3</f>
        <v>0.33333333333333331</v>
      </c>
      <c r="M105" t="s">
        <v>59</v>
      </c>
      <c r="N105">
        <f>SUMIF(Nodes3456[Destination],M105,Nodes3456[Units])-SUMIF(Nodes3456[Origin],M105,Nodes3456[Units])</f>
        <v>-506</v>
      </c>
      <c r="O105">
        <f>-SUM(_xlfn.ANCHORARRAY(O106))</f>
        <v>-506</v>
      </c>
    </row>
    <row r="106" spans="1:15" x14ac:dyDescent="0.35">
      <c r="G106" s="10">
        <f>G105/ABS($O$105)/1000</f>
        <v>25822.107348902955</v>
      </c>
      <c r="H106" s="8">
        <f>H105/ABS($O$105)/1000</f>
        <v>893.05464755731248</v>
      </c>
      <c r="I106" t="s">
        <v>56</v>
      </c>
      <c r="M106" t="str" cm="1">
        <f t="array" ref="M106:M123">T3Data!B2:B19</f>
        <v>MUN</v>
      </c>
      <c r="N106">
        <f>SUMIF(Nodes3456[Destination],M106,Nodes3456[Units])-SUMIF(Nodes3456[Origin],M106,Nodes3456[Units])</f>
        <v>82</v>
      </c>
      <c r="O106" cm="1">
        <f t="array" ref="O106:O123">T3Data!F2:F19</f>
        <v>82</v>
      </c>
    </row>
    <row r="107" spans="1:15" x14ac:dyDescent="0.35">
      <c r="M107" t="str">
        <v>CHE</v>
      </c>
      <c r="N107">
        <f>SUMIF(Nodes3456[Destination],M107,Nodes3456[Units])-SUMIF(Nodes3456[Origin],M107,Nodes3456[Units])</f>
        <v>9</v>
      </c>
      <c r="O107">
        <v>9</v>
      </c>
    </row>
    <row r="108" spans="1:15" x14ac:dyDescent="0.35">
      <c r="M108" t="str">
        <v>BKK</v>
      </c>
      <c r="N108">
        <f>SUMIF(Nodes3456[Destination],M108,Nodes3456[Units])-SUMIF(Nodes3456[Origin],M108,Nodes3456[Units])</f>
        <v>9</v>
      </c>
      <c r="O108">
        <v>9</v>
      </c>
    </row>
    <row r="109" spans="1:15" x14ac:dyDescent="0.35">
      <c r="M109" t="str">
        <v>DAL</v>
      </c>
      <c r="N109">
        <f>SUMIF(Nodes3456[Destination],M109,Nodes3456[Units])-SUMIF(Nodes3456[Origin],M109,Nodes3456[Units])</f>
        <v>86</v>
      </c>
      <c r="O109">
        <v>86</v>
      </c>
    </row>
    <row r="110" spans="1:15" x14ac:dyDescent="0.35">
      <c r="M110" t="str">
        <v>TAM</v>
      </c>
      <c r="N110">
        <f>SUMIF(Nodes3456[Destination],M110,Nodes3456[Units])-SUMIF(Nodes3456[Origin],M110,Nodes3456[Units])</f>
        <v>5</v>
      </c>
      <c r="O110">
        <v>5</v>
      </c>
    </row>
    <row r="111" spans="1:15" x14ac:dyDescent="0.35">
      <c r="M111" t="str">
        <v>SAV</v>
      </c>
      <c r="N111">
        <f>SUMIF(Nodes3456[Destination],M111,Nodes3456[Units])-SUMIF(Nodes3456[Origin],M111,Nodes3456[Units])</f>
        <v>20</v>
      </c>
      <c r="O111">
        <v>20</v>
      </c>
    </row>
    <row r="112" spans="1:15" x14ac:dyDescent="0.35">
      <c r="M112" t="str">
        <v>ARA</v>
      </c>
      <c r="N112">
        <f>SUMIF(Nodes3456[Destination],M112,Nodes3456[Units])-SUMIF(Nodes3456[Origin],M112,Nodes3456[Units])</f>
        <v>4</v>
      </c>
      <c r="O112">
        <v>4</v>
      </c>
    </row>
    <row r="113" spans="13:15" x14ac:dyDescent="0.35">
      <c r="M113" t="str">
        <v>DUR</v>
      </c>
      <c r="N113">
        <f>SUMIF(Nodes3456[Destination],M113,Nodes3456[Units])-SUMIF(Nodes3456[Origin],M113,Nodes3456[Units])</f>
        <v>1</v>
      </c>
      <c r="O113">
        <v>1</v>
      </c>
    </row>
    <row r="114" spans="13:15" x14ac:dyDescent="0.35">
      <c r="M114" t="str">
        <v>GOA</v>
      </c>
      <c r="N114">
        <f>SUMIF(Nodes3456[Destination],M114,Nodes3456[Units])-SUMIF(Nodes3456[Origin],M114,Nodes3456[Units])</f>
        <v>48</v>
      </c>
      <c r="O114">
        <v>48</v>
      </c>
    </row>
    <row r="115" spans="13:15" x14ac:dyDescent="0.35">
      <c r="M115" t="str">
        <v>LON</v>
      </c>
      <c r="N115">
        <f>SUMIF(Nodes3456[Destination],M115,Nodes3456[Units])-SUMIF(Nodes3456[Origin],M115,Nodes3456[Units])</f>
        <v>51</v>
      </c>
      <c r="O115">
        <v>51</v>
      </c>
    </row>
    <row r="116" spans="13:15" x14ac:dyDescent="0.35">
      <c r="M116" t="str">
        <v>MOS</v>
      </c>
      <c r="N116">
        <f>SUMIF(Nodes3456[Destination],M116,Nodes3456[Units])-SUMIF(Nodes3456[Origin],M116,Nodes3456[Units])</f>
        <v>9</v>
      </c>
      <c r="O116">
        <v>9</v>
      </c>
    </row>
    <row r="117" spans="13:15" x14ac:dyDescent="0.35">
      <c r="M117" t="str">
        <v>HKG</v>
      </c>
      <c r="N117">
        <f>SUMIF(Nodes3456[Destination],M117,Nodes3456[Units])-SUMIF(Nodes3456[Origin],M117,Nodes3456[Units])</f>
        <v>85</v>
      </c>
      <c r="O117">
        <v>85</v>
      </c>
    </row>
    <row r="118" spans="13:15" x14ac:dyDescent="0.35">
      <c r="M118" t="str">
        <v>BUS</v>
      </c>
      <c r="N118">
        <f>SUMIF(Nodes3456[Destination],M118,Nodes3456[Units])-SUMIF(Nodes3456[Origin],M118,Nodes3456[Units])</f>
        <v>26</v>
      </c>
      <c r="O118">
        <v>26</v>
      </c>
    </row>
    <row r="119" spans="13:15" x14ac:dyDescent="0.35">
      <c r="M119" t="str">
        <v>LAX</v>
      </c>
      <c r="N119">
        <f>SUMIF(Nodes3456[Destination],M119,Nodes3456[Units])-SUMIF(Nodes3456[Origin],M119,Nodes3456[Units])</f>
        <v>21</v>
      </c>
      <c r="O119">
        <v>21</v>
      </c>
    </row>
    <row r="120" spans="13:15" x14ac:dyDescent="0.35">
      <c r="M120" t="str">
        <v>SEA</v>
      </c>
      <c r="N120">
        <f>SUMIF(Nodes3456[Destination],M120,Nodes3456[Units])-SUMIF(Nodes3456[Origin],M120,Nodes3456[Units])</f>
        <v>20</v>
      </c>
      <c r="O120">
        <v>20</v>
      </c>
    </row>
    <row r="121" spans="13:15" x14ac:dyDescent="0.35">
      <c r="M121" t="str">
        <v>MON</v>
      </c>
      <c r="N121">
        <f>SUMIF(Nodes3456[Destination],M121,Nodes3456[Units])-SUMIF(Nodes3456[Origin],M121,Nodes3456[Units])</f>
        <v>21</v>
      </c>
      <c r="O121">
        <v>21</v>
      </c>
    </row>
    <row r="122" spans="13:15" x14ac:dyDescent="0.35">
      <c r="M122" t="str">
        <v>SYD</v>
      </c>
      <c r="N122">
        <f>SUMIF(Nodes3456[Destination],M122,Nodes3456[Units])-SUMIF(Nodes3456[Origin],M122,Nodes3456[Units])</f>
        <v>4</v>
      </c>
      <c r="O122">
        <v>4</v>
      </c>
    </row>
    <row r="123" spans="13:15" x14ac:dyDescent="0.35">
      <c r="M123" t="str">
        <v>DBI</v>
      </c>
      <c r="N123">
        <f>SUMIF(Nodes3456[Destination],M123,Nodes3456[Units])-SUMIF(Nodes3456[Origin],M123,Nodes3456[Units])</f>
        <v>5</v>
      </c>
      <c r="O123">
        <v>5</v>
      </c>
    </row>
  </sheetData>
  <conditionalFormatting sqref="A3:A102">
    <cfRule type="cellIs" dxfId="3" priority="1" operator="greaterThan">
      <formula>0</formula>
    </cfRule>
  </conditionalFormatting>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B414B6-6FBB-4A82-A335-D79793AA6F9C}">
  <sheetPr codeName="Sheet12">
    <tabColor rgb="FF92D050"/>
  </sheetPr>
  <dimension ref="A2:O123"/>
  <sheetViews>
    <sheetView zoomScale="85" zoomScaleNormal="85" workbookViewId="0">
      <selection activeCell="K2" sqref="K2"/>
    </sheetView>
  </sheetViews>
  <sheetFormatPr defaultRowHeight="14.5" x14ac:dyDescent="0.35"/>
  <cols>
    <col min="1" max="1" width="12.453125" bestFit="1" customWidth="1"/>
    <col min="2" max="2" width="10.08984375" bestFit="1" customWidth="1"/>
    <col min="3" max="3" width="12.1796875" customWidth="1"/>
    <col min="4" max="4" width="10.08984375" bestFit="1" customWidth="1"/>
    <col min="5" max="5" width="16.1796875" customWidth="1"/>
    <col min="6" max="6" width="13.36328125" customWidth="1"/>
    <col min="7" max="7" width="23.1796875" customWidth="1"/>
    <col min="8" max="8" width="22.08984375" customWidth="1"/>
    <col min="9" max="9" width="19.54296875" bestFit="1" customWidth="1"/>
    <col min="10" max="10" width="14" bestFit="1" customWidth="1"/>
    <col min="11" max="12" width="8.90625" bestFit="1" customWidth="1"/>
    <col min="13" max="13" width="10" customWidth="1"/>
  </cols>
  <sheetData>
    <row r="2" spans="1:12" x14ac:dyDescent="0.35">
      <c r="A2" t="s">
        <v>0</v>
      </c>
      <c r="B2" t="s">
        <v>1</v>
      </c>
      <c r="C2" t="s">
        <v>2</v>
      </c>
      <c r="D2" t="s">
        <v>46</v>
      </c>
      <c r="E2" t="s">
        <v>3</v>
      </c>
      <c r="F2" t="s">
        <v>40</v>
      </c>
      <c r="G2" t="s">
        <v>61</v>
      </c>
      <c r="H2" t="s">
        <v>63</v>
      </c>
      <c r="I2" t="s">
        <v>51</v>
      </c>
      <c r="J2" t="s">
        <v>64</v>
      </c>
      <c r="K2" t="s">
        <v>62</v>
      </c>
      <c r="L2" t="s">
        <v>52</v>
      </c>
    </row>
    <row r="3" spans="1:12" x14ac:dyDescent="0.35">
      <c r="A3">
        <v>159</v>
      </c>
      <c r="B3" t="s">
        <v>59</v>
      </c>
      <c r="C3" t="str">
        <f>T3Data!B2</f>
        <v>MUN</v>
      </c>
      <c r="D3" t="s">
        <v>59</v>
      </c>
      <c r="E3" s="6">
        <f>T3Data!J2</f>
        <v>27554200</v>
      </c>
      <c r="F3" s="8">
        <f>T3Data!L2</f>
        <v>330000</v>
      </c>
      <c r="G3">
        <v>1</v>
      </c>
      <c r="H3">
        <v>999</v>
      </c>
      <c r="I3" cm="1">
        <f t="array" ref="I3:I10">T3Data!M2:M9</f>
        <v>1</v>
      </c>
      <c r="J3">
        <f t="shared" ref="J3:J10" si="0">G3*H3</f>
        <v>999</v>
      </c>
      <c r="K3">
        <f t="shared" ref="K3:K10" si="1">G3*I3</f>
        <v>1</v>
      </c>
      <c r="L3" cm="1">
        <f t="array" ref="L3:L10">T3Data!N2:N9</f>
        <v>210</v>
      </c>
    </row>
    <row r="4" spans="1:12" x14ac:dyDescent="0.35">
      <c r="A4">
        <v>10</v>
      </c>
      <c r="B4" t="s">
        <v>59</v>
      </c>
      <c r="C4" t="str">
        <f>T3Data!B3</f>
        <v>CHE</v>
      </c>
      <c r="D4" t="s">
        <v>59</v>
      </c>
      <c r="E4" s="6">
        <f>T3Data!J3</f>
        <v>25048600</v>
      </c>
      <c r="F4" s="8">
        <f>T3Data!L3</f>
        <v>330000</v>
      </c>
      <c r="G4">
        <v>1</v>
      </c>
      <c r="H4">
        <v>999</v>
      </c>
      <c r="I4">
        <v>5</v>
      </c>
      <c r="J4">
        <f t="shared" si="0"/>
        <v>999</v>
      </c>
      <c r="K4">
        <f t="shared" si="1"/>
        <v>5</v>
      </c>
      <c r="L4">
        <v>10</v>
      </c>
    </row>
    <row r="5" spans="1:12" x14ac:dyDescent="0.35">
      <c r="A5">
        <v>10</v>
      </c>
      <c r="B5" t="s">
        <v>59</v>
      </c>
      <c r="C5" t="str">
        <f>T3Data!B4</f>
        <v>BKK</v>
      </c>
      <c r="D5" t="s">
        <v>59</v>
      </c>
      <c r="E5" s="6">
        <f>T3Data!J4</f>
        <v>25232200</v>
      </c>
      <c r="F5" s="8">
        <f>T3Data!L4</f>
        <v>330000</v>
      </c>
      <c r="G5">
        <v>1</v>
      </c>
      <c r="H5">
        <v>999</v>
      </c>
      <c r="I5">
        <v>5</v>
      </c>
      <c r="J5">
        <f t="shared" si="0"/>
        <v>999</v>
      </c>
      <c r="K5">
        <f t="shared" si="1"/>
        <v>5</v>
      </c>
      <c r="L5">
        <v>10</v>
      </c>
    </row>
    <row r="6" spans="1:12" x14ac:dyDescent="0.35">
      <c r="A6">
        <v>230</v>
      </c>
      <c r="B6" t="s">
        <v>59</v>
      </c>
      <c r="C6" t="str">
        <f>T3Data!B5</f>
        <v>DAL</v>
      </c>
      <c r="D6" t="s">
        <v>59</v>
      </c>
      <c r="E6" s="6">
        <f>T3Data!J5</f>
        <v>25228600</v>
      </c>
      <c r="F6" s="8">
        <f>T3Data!L5</f>
        <v>330000</v>
      </c>
      <c r="G6">
        <v>1</v>
      </c>
      <c r="H6">
        <v>999</v>
      </c>
      <c r="I6">
        <v>5</v>
      </c>
      <c r="J6">
        <f t="shared" si="0"/>
        <v>999</v>
      </c>
      <c r="K6">
        <f t="shared" si="1"/>
        <v>5</v>
      </c>
      <c r="L6">
        <v>230</v>
      </c>
    </row>
    <row r="7" spans="1:12" x14ac:dyDescent="0.35">
      <c r="A7">
        <v>70</v>
      </c>
      <c r="B7" t="s">
        <v>59</v>
      </c>
      <c r="C7" t="str">
        <f>T3Data!B6</f>
        <v>TAM</v>
      </c>
      <c r="D7" t="s">
        <v>59</v>
      </c>
      <c r="E7" s="6">
        <f>T3Data!J6</f>
        <v>25223200</v>
      </c>
      <c r="F7" s="8">
        <f>T3Data!L6</f>
        <v>330000</v>
      </c>
      <c r="G7">
        <v>1</v>
      </c>
      <c r="H7">
        <v>999</v>
      </c>
      <c r="I7">
        <v>5</v>
      </c>
      <c r="J7">
        <f t="shared" si="0"/>
        <v>999</v>
      </c>
      <c r="K7">
        <f t="shared" si="1"/>
        <v>5</v>
      </c>
      <c r="L7">
        <v>70</v>
      </c>
    </row>
    <row r="8" spans="1:12" x14ac:dyDescent="0.35">
      <c r="A8">
        <v>17</v>
      </c>
      <c r="B8" t="s">
        <v>59</v>
      </c>
      <c r="C8" t="str">
        <f>T3Data!B7</f>
        <v>SAV</v>
      </c>
      <c r="D8" t="s">
        <v>59</v>
      </c>
      <c r="E8" s="6">
        <f>T3Data!J7</f>
        <v>26305000</v>
      </c>
      <c r="F8" s="8">
        <f>T3Data!L7</f>
        <v>330000</v>
      </c>
      <c r="G8">
        <v>1</v>
      </c>
      <c r="H8">
        <v>999</v>
      </c>
      <c r="I8">
        <v>5</v>
      </c>
      <c r="J8">
        <f t="shared" si="0"/>
        <v>999</v>
      </c>
      <c r="K8">
        <f t="shared" si="1"/>
        <v>5</v>
      </c>
      <c r="L8">
        <v>145</v>
      </c>
    </row>
    <row r="9" spans="1:12" x14ac:dyDescent="0.35">
      <c r="A9">
        <v>5</v>
      </c>
      <c r="B9" t="s">
        <v>59</v>
      </c>
      <c r="C9" t="str">
        <f>T3Data!B8</f>
        <v>ARA</v>
      </c>
      <c r="D9" t="s">
        <v>59</v>
      </c>
      <c r="E9" s="6">
        <f>T3Data!J8</f>
        <v>25230400</v>
      </c>
      <c r="F9" s="8">
        <f>T3Data!L8</f>
        <v>330000</v>
      </c>
      <c r="G9">
        <v>1</v>
      </c>
      <c r="H9">
        <v>999</v>
      </c>
      <c r="I9">
        <v>5</v>
      </c>
      <c r="J9">
        <f t="shared" si="0"/>
        <v>999</v>
      </c>
      <c r="K9">
        <f t="shared" si="1"/>
        <v>5</v>
      </c>
      <c r="L9">
        <v>10</v>
      </c>
    </row>
    <row r="10" spans="1:12" x14ac:dyDescent="0.35">
      <c r="A10">
        <v>5</v>
      </c>
      <c r="B10" t="s">
        <v>59</v>
      </c>
      <c r="C10" t="str">
        <f>T3Data!B9</f>
        <v>DUR</v>
      </c>
      <c r="D10" t="s">
        <v>59</v>
      </c>
      <c r="E10" s="6">
        <f>T3Data!J9</f>
        <v>25282600</v>
      </c>
      <c r="F10" s="8">
        <f>T3Data!L9</f>
        <v>330000</v>
      </c>
      <c r="G10">
        <v>1</v>
      </c>
      <c r="H10">
        <v>999</v>
      </c>
      <c r="I10">
        <v>5</v>
      </c>
      <c r="J10">
        <f t="shared" si="0"/>
        <v>999</v>
      </c>
      <c r="K10">
        <f t="shared" si="1"/>
        <v>5</v>
      </c>
      <c r="L10">
        <v>20</v>
      </c>
    </row>
    <row r="11" spans="1:12" x14ac:dyDescent="0.35">
      <c r="A11">
        <v>1</v>
      </c>
      <c r="B11" t="s">
        <v>14</v>
      </c>
      <c r="C11" t="s">
        <v>47</v>
      </c>
      <c r="D11" t="s">
        <v>42</v>
      </c>
      <c r="E11" s="6">
        <v>255229.08364800003</v>
      </c>
      <c r="F11" s="8">
        <v>2154155.1360000004</v>
      </c>
    </row>
    <row r="12" spans="1:12" hidden="1" x14ac:dyDescent="0.35">
      <c r="A12">
        <v>0</v>
      </c>
      <c r="B12" t="s">
        <v>14</v>
      </c>
      <c r="C12" t="s">
        <v>25</v>
      </c>
      <c r="D12" t="s">
        <v>42</v>
      </c>
      <c r="E12" s="6">
        <v>285973.99142400001</v>
      </c>
      <c r="F12" s="8">
        <v>2413644.7680000002</v>
      </c>
    </row>
    <row r="13" spans="1:12" hidden="1" x14ac:dyDescent="0.35">
      <c r="A13">
        <v>0</v>
      </c>
      <c r="B13" t="s">
        <v>14</v>
      </c>
      <c r="C13" t="s">
        <v>19</v>
      </c>
      <c r="D13" t="s">
        <v>42</v>
      </c>
      <c r="E13" s="6">
        <v>263005.43385600002</v>
      </c>
      <c r="F13" s="8">
        <v>2219788.1920000003</v>
      </c>
    </row>
    <row r="14" spans="1:12" hidden="1" x14ac:dyDescent="0.35">
      <c r="A14">
        <v>0</v>
      </c>
      <c r="B14" t="s">
        <v>14</v>
      </c>
      <c r="C14" t="s">
        <v>18</v>
      </c>
      <c r="D14" t="s">
        <v>42</v>
      </c>
      <c r="E14" s="6">
        <v>334022.56588800001</v>
      </c>
      <c r="F14" s="8">
        <v>2819178.8160000006</v>
      </c>
    </row>
    <row r="15" spans="1:12" hidden="1" x14ac:dyDescent="0.35">
      <c r="A15">
        <v>0</v>
      </c>
      <c r="B15" t="s">
        <v>17</v>
      </c>
      <c r="C15" t="s">
        <v>15</v>
      </c>
      <c r="D15" t="s">
        <v>42</v>
      </c>
      <c r="E15" s="6">
        <v>133176.43468800001</v>
      </c>
      <c r="F15" s="8">
        <v>1124020.4160000002</v>
      </c>
    </row>
    <row r="16" spans="1:12" hidden="1" x14ac:dyDescent="0.35">
      <c r="A16">
        <v>0</v>
      </c>
      <c r="B16" t="s">
        <v>17</v>
      </c>
      <c r="C16" t="s">
        <v>27</v>
      </c>
      <c r="D16" t="s">
        <v>42</v>
      </c>
      <c r="E16" s="6">
        <v>70579.390464000011</v>
      </c>
      <c r="F16" s="8">
        <v>595696.04800000007</v>
      </c>
    </row>
    <row r="17" spans="1:6" hidden="1" x14ac:dyDescent="0.35">
      <c r="A17">
        <v>0</v>
      </c>
      <c r="B17" t="s">
        <v>17</v>
      </c>
      <c r="C17" t="s">
        <v>32</v>
      </c>
      <c r="D17" t="s">
        <v>42</v>
      </c>
      <c r="E17" s="6">
        <v>383950.85414400004</v>
      </c>
      <c r="F17" s="8">
        <v>3240577.8080000007</v>
      </c>
    </row>
    <row r="18" spans="1:6" x14ac:dyDescent="0.35">
      <c r="A18">
        <v>1</v>
      </c>
      <c r="B18" t="s">
        <v>17</v>
      </c>
      <c r="C18" t="s">
        <v>31</v>
      </c>
      <c r="D18" t="s">
        <v>42</v>
      </c>
      <c r="E18" s="6">
        <v>259606.49932800001</v>
      </c>
      <c r="F18" s="8">
        <v>2191100.8960000002</v>
      </c>
    </row>
    <row r="19" spans="1:6" hidden="1" x14ac:dyDescent="0.35">
      <c r="A19">
        <v>0</v>
      </c>
      <c r="B19" t="s">
        <v>28</v>
      </c>
      <c r="C19" t="s">
        <v>39</v>
      </c>
      <c r="D19" t="s">
        <v>42</v>
      </c>
      <c r="E19" s="6">
        <v>27011.229696000002</v>
      </c>
      <c r="F19" s="8">
        <v>227977.07200000004</v>
      </c>
    </row>
    <row r="20" spans="1:6" hidden="1" x14ac:dyDescent="0.35">
      <c r="A20">
        <v>0</v>
      </c>
      <c r="B20" t="s">
        <v>28</v>
      </c>
      <c r="C20" t="s">
        <v>27</v>
      </c>
      <c r="D20" t="s">
        <v>42</v>
      </c>
      <c r="E20" s="6">
        <v>57138.149376000001</v>
      </c>
      <c r="F20" s="8">
        <v>482250.83200000005</v>
      </c>
    </row>
    <row r="21" spans="1:6" hidden="1" x14ac:dyDescent="0.35">
      <c r="A21">
        <v>0</v>
      </c>
      <c r="B21" t="s">
        <v>28</v>
      </c>
      <c r="C21" t="s">
        <v>32</v>
      </c>
      <c r="D21" t="s">
        <v>42</v>
      </c>
      <c r="E21" s="6">
        <v>263597.672448</v>
      </c>
      <c r="F21" s="8">
        <v>2224786.7360000005</v>
      </c>
    </row>
    <row r="22" spans="1:6" hidden="1" x14ac:dyDescent="0.35">
      <c r="A22">
        <v>0</v>
      </c>
      <c r="B22" t="s">
        <v>28</v>
      </c>
      <c r="C22" t="s">
        <v>29</v>
      </c>
      <c r="D22" t="s">
        <v>42</v>
      </c>
      <c r="E22" s="6">
        <v>238543.40505600002</v>
      </c>
      <c r="F22" s="8">
        <v>2013326.5920000002</v>
      </c>
    </row>
    <row r="23" spans="1:6" hidden="1" x14ac:dyDescent="0.35">
      <c r="A23">
        <v>0</v>
      </c>
      <c r="B23" t="s">
        <v>15</v>
      </c>
      <c r="C23" t="s">
        <v>17</v>
      </c>
      <c r="D23" t="s">
        <v>42</v>
      </c>
      <c r="E23" s="6">
        <v>133176.43468800001</v>
      </c>
      <c r="F23" s="8">
        <v>1124020.4160000002</v>
      </c>
    </row>
    <row r="24" spans="1:6" x14ac:dyDescent="0.35">
      <c r="A24">
        <v>1</v>
      </c>
      <c r="B24" t="s">
        <v>15</v>
      </c>
      <c r="C24" t="s">
        <v>45</v>
      </c>
      <c r="D24" t="s">
        <v>42</v>
      </c>
      <c r="E24" s="6">
        <v>106783.193088</v>
      </c>
      <c r="F24" s="8">
        <v>901259.21600000013</v>
      </c>
    </row>
    <row r="25" spans="1:6" hidden="1" x14ac:dyDescent="0.35">
      <c r="A25">
        <v>0</v>
      </c>
      <c r="B25" t="s">
        <v>15</v>
      </c>
      <c r="C25" t="s">
        <v>44</v>
      </c>
      <c r="D25" t="s">
        <v>42</v>
      </c>
      <c r="E25" s="6">
        <v>222243.96902400002</v>
      </c>
      <c r="F25" s="8">
        <v>1875757.9680000003</v>
      </c>
    </row>
    <row r="26" spans="1:6" hidden="1" x14ac:dyDescent="0.35">
      <c r="A26">
        <v>0</v>
      </c>
      <c r="B26" t="s">
        <v>15</v>
      </c>
      <c r="C26" t="s">
        <v>47</v>
      </c>
      <c r="D26" t="s">
        <v>42</v>
      </c>
      <c r="E26" s="6">
        <v>271013.52960000001</v>
      </c>
      <c r="F26" s="8">
        <v>2287377.2000000002</v>
      </c>
    </row>
    <row r="27" spans="1:6" hidden="1" x14ac:dyDescent="0.35">
      <c r="A27">
        <v>0</v>
      </c>
      <c r="B27" t="s">
        <v>15</v>
      </c>
      <c r="C27" t="s">
        <v>31</v>
      </c>
      <c r="D27" t="s">
        <v>42</v>
      </c>
      <c r="E27" s="6">
        <v>274644.20966400002</v>
      </c>
      <c r="F27" s="8">
        <v>2318020.4480000003</v>
      </c>
    </row>
    <row r="28" spans="1:6" x14ac:dyDescent="0.35">
      <c r="A28">
        <v>26</v>
      </c>
      <c r="B28" t="s">
        <v>39</v>
      </c>
      <c r="C28" t="s">
        <v>28</v>
      </c>
      <c r="D28" t="s">
        <v>42</v>
      </c>
      <c r="E28" s="6">
        <v>27011.229696000002</v>
      </c>
      <c r="F28" s="8">
        <v>227977.07200000004</v>
      </c>
    </row>
    <row r="29" spans="1:6" x14ac:dyDescent="0.35">
      <c r="A29">
        <v>85</v>
      </c>
      <c r="B29" t="s">
        <v>39</v>
      </c>
      <c r="C29" t="s">
        <v>27</v>
      </c>
      <c r="D29" t="s">
        <v>41</v>
      </c>
      <c r="E29" s="6">
        <v>305698.11148800002</v>
      </c>
      <c r="F29" s="8">
        <v>74081.279999999999</v>
      </c>
    </row>
    <row r="30" spans="1:6" hidden="1" x14ac:dyDescent="0.35">
      <c r="A30">
        <v>0</v>
      </c>
      <c r="B30" t="s">
        <v>39</v>
      </c>
      <c r="C30" t="s">
        <v>27</v>
      </c>
      <c r="D30" t="s">
        <v>42</v>
      </c>
      <c r="E30" s="6">
        <v>80518.699008000011</v>
      </c>
      <c r="F30" s="8">
        <v>679584.65600000008</v>
      </c>
    </row>
    <row r="31" spans="1:6" x14ac:dyDescent="0.35">
      <c r="A31">
        <v>30</v>
      </c>
      <c r="B31" t="s">
        <v>39</v>
      </c>
      <c r="C31" t="s">
        <v>26</v>
      </c>
      <c r="D31" t="s">
        <v>41</v>
      </c>
      <c r="E31" s="6">
        <v>844068.74112000002</v>
      </c>
      <c r="F31" s="8">
        <v>204547.20000000001</v>
      </c>
    </row>
    <row r="32" spans="1:6" x14ac:dyDescent="0.35">
      <c r="A32">
        <v>3</v>
      </c>
      <c r="B32" t="s">
        <v>39</v>
      </c>
      <c r="C32" t="s">
        <v>31</v>
      </c>
      <c r="D32" t="s">
        <v>42</v>
      </c>
      <c r="E32" s="6">
        <v>269571.55737600004</v>
      </c>
      <c r="F32" s="8">
        <v>2275206.8320000004</v>
      </c>
    </row>
    <row r="33" spans="1:6" hidden="1" x14ac:dyDescent="0.35">
      <c r="A33">
        <v>0</v>
      </c>
      <c r="B33" t="s">
        <v>45</v>
      </c>
      <c r="C33" t="s">
        <v>15</v>
      </c>
      <c r="D33" t="s">
        <v>42</v>
      </c>
      <c r="E33" s="6">
        <v>106783.193088</v>
      </c>
      <c r="F33" s="8">
        <v>901259.21600000013</v>
      </c>
    </row>
    <row r="34" spans="1:6" hidden="1" x14ac:dyDescent="0.35">
      <c r="A34">
        <v>0</v>
      </c>
      <c r="B34" t="s">
        <v>45</v>
      </c>
      <c r="C34" t="s">
        <v>44</v>
      </c>
      <c r="D34" t="s">
        <v>42</v>
      </c>
      <c r="E34" s="6">
        <v>194254.258176</v>
      </c>
      <c r="F34" s="8">
        <v>1639522.4320000003</v>
      </c>
    </row>
    <row r="35" spans="1:6" hidden="1" x14ac:dyDescent="0.35">
      <c r="A35">
        <v>0</v>
      </c>
      <c r="B35" t="s">
        <v>45</v>
      </c>
      <c r="C35" t="s">
        <v>47</v>
      </c>
      <c r="D35" t="s">
        <v>42</v>
      </c>
      <c r="E35" s="6">
        <v>211892.668416</v>
      </c>
      <c r="F35" s="8">
        <v>1788392.1120000002</v>
      </c>
    </row>
    <row r="36" spans="1:6" hidden="1" x14ac:dyDescent="0.35">
      <c r="A36">
        <v>0</v>
      </c>
      <c r="B36" t="s">
        <v>44</v>
      </c>
      <c r="C36" t="s">
        <v>15</v>
      </c>
      <c r="D36" t="s">
        <v>42</v>
      </c>
      <c r="E36" s="6">
        <v>222243.96902400002</v>
      </c>
      <c r="F36" s="8">
        <v>1875757.9680000003</v>
      </c>
    </row>
    <row r="37" spans="1:6" x14ac:dyDescent="0.35">
      <c r="A37">
        <v>4</v>
      </c>
      <c r="B37" t="s">
        <v>44</v>
      </c>
      <c r="C37" t="s">
        <v>45</v>
      </c>
      <c r="D37" t="s">
        <v>42</v>
      </c>
      <c r="E37" s="6">
        <v>194254.258176</v>
      </c>
      <c r="F37" s="8">
        <v>1639522.4320000003</v>
      </c>
    </row>
    <row r="38" spans="1:6" hidden="1" x14ac:dyDescent="0.35">
      <c r="A38">
        <v>0</v>
      </c>
      <c r="B38" t="s">
        <v>44</v>
      </c>
      <c r="C38" t="s">
        <v>47</v>
      </c>
      <c r="D38" t="s">
        <v>42</v>
      </c>
      <c r="E38" s="6">
        <v>349549.51680000004</v>
      </c>
      <c r="F38" s="8">
        <v>2950227.6000000006</v>
      </c>
    </row>
    <row r="39" spans="1:6" hidden="1" x14ac:dyDescent="0.35">
      <c r="A39">
        <v>0</v>
      </c>
      <c r="B39" t="s">
        <v>44</v>
      </c>
      <c r="C39" t="s">
        <v>31</v>
      </c>
      <c r="D39" t="s">
        <v>42</v>
      </c>
      <c r="E39" s="6">
        <v>359334.32832000003</v>
      </c>
      <c r="F39" s="8">
        <v>3032812.24</v>
      </c>
    </row>
    <row r="40" spans="1:6" hidden="1" x14ac:dyDescent="0.35">
      <c r="A40">
        <v>0</v>
      </c>
      <c r="B40" t="s">
        <v>47</v>
      </c>
      <c r="C40" t="s">
        <v>14</v>
      </c>
      <c r="D40" t="s">
        <v>42</v>
      </c>
      <c r="E40" s="6">
        <v>255229.08364800003</v>
      </c>
      <c r="F40" s="8">
        <v>2154155.1360000004</v>
      </c>
    </row>
    <row r="41" spans="1:6" hidden="1" x14ac:dyDescent="0.35">
      <c r="A41">
        <v>0</v>
      </c>
      <c r="B41" t="s">
        <v>47</v>
      </c>
      <c r="C41" t="s">
        <v>15</v>
      </c>
      <c r="D41" t="s">
        <v>42</v>
      </c>
      <c r="E41" s="6">
        <v>271013.52960000001</v>
      </c>
      <c r="F41" s="8">
        <v>2287377.2000000002</v>
      </c>
    </row>
    <row r="42" spans="1:6" hidden="1" x14ac:dyDescent="0.35">
      <c r="A42">
        <v>0</v>
      </c>
      <c r="B42" t="s">
        <v>47</v>
      </c>
      <c r="C42" t="s">
        <v>45</v>
      </c>
      <c r="D42" t="s">
        <v>42</v>
      </c>
      <c r="E42" s="6">
        <v>211892.668416</v>
      </c>
      <c r="F42" s="8">
        <v>1788392.1120000002</v>
      </c>
    </row>
    <row r="43" spans="1:6" hidden="1" x14ac:dyDescent="0.35">
      <c r="A43">
        <v>0</v>
      </c>
      <c r="B43" t="s">
        <v>47</v>
      </c>
      <c r="C43" t="s">
        <v>44</v>
      </c>
      <c r="D43" t="s">
        <v>42</v>
      </c>
      <c r="E43" s="6">
        <v>349549.51680000004</v>
      </c>
      <c r="F43" s="8">
        <v>2950227.6000000006</v>
      </c>
    </row>
    <row r="44" spans="1:6" hidden="1" x14ac:dyDescent="0.35">
      <c r="A44">
        <v>0</v>
      </c>
      <c r="B44" t="s">
        <v>47</v>
      </c>
      <c r="C44" t="s">
        <v>25</v>
      </c>
      <c r="D44" t="s">
        <v>41</v>
      </c>
      <c r="E44" s="6">
        <v>106396.950528</v>
      </c>
      <c r="F44" s="8">
        <v>25783.68</v>
      </c>
    </row>
    <row r="45" spans="1:6" hidden="1" x14ac:dyDescent="0.35">
      <c r="A45">
        <v>0</v>
      </c>
      <c r="B45" t="s">
        <v>47</v>
      </c>
      <c r="C45" t="s">
        <v>25</v>
      </c>
      <c r="D45" t="s">
        <v>42</v>
      </c>
      <c r="E45" s="6">
        <v>108637.157376</v>
      </c>
      <c r="F45" s="8">
        <v>916906.83200000017</v>
      </c>
    </row>
    <row r="46" spans="1:6" hidden="1" x14ac:dyDescent="0.35">
      <c r="A46">
        <v>0</v>
      </c>
      <c r="B46" t="s">
        <v>47</v>
      </c>
      <c r="C46" t="s">
        <v>16</v>
      </c>
      <c r="D46" t="s">
        <v>41</v>
      </c>
      <c r="E46" s="6">
        <v>47482.085376000003</v>
      </c>
      <c r="F46" s="8">
        <v>11506.56</v>
      </c>
    </row>
    <row r="47" spans="1:6" hidden="1" x14ac:dyDescent="0.35">
      <c r="A47">
        <v>0</v>
      </c>
      <c r="B47" t="s">
        <v>47</v>
      </c>
      <c r="C47" t="s">
        <v>18</v>
      </c>
      <c r="D47" t="s">
        <v>42</v>
      </c>
      <c r="E47" s="6">
        <v>286308.73497600004</v>
      </c>
      <c r="F47" s="8">
        <v>2416470.0320000001</v>
      </c>
    </row>
    <row r="48" spans="1:6" hidden="1" x14ac:dyDescent="0.35">
      <c r="A48">
        <v>0</v>
      </c>
      <c r="B48" t="s">
        <v>27</v>
      </c>
      <c r="C48" t="s">
        <v>17</v>
      </c>
      <c r="D48" t="s">
        <v>42</v>
      </c>
      <c r="E48" s="6">
        <v>70579.390464000011</v>
      </c>
      <c r="F48" s="8">
        <v>595696.04800000007</v>
      </c>
    </row>
    <row r="49" spans="1:6" hidden="1" x14ac:dyDescent="0.35">
      <c r="A49">
        <v>0</v>
      </c>
      <c r="B49" t="s">
        <v>27</v>
      </c>
      <c r="C49" t="s">
        <v>28</v>
      </c>
      <c r="D49" t="s">
        <v>42</v>
      </c>
      <c r="E49" s="6">
        <v>57138.149376000001</v>
      </c>
      <c r="F49" s="8">
        <v>482250.83200000005</v>
      </c>
    </row>
    <row r="50" spans="1:6" hidden="1" x14ac:dyDescent="0.35">
      <c r="A50">
        <v>0</v>
      </c>
      <c r="B50" t="s">
        <v>27</v>
      </c>
      <c r="C50" t="s">
        <v>39</v>
      </c>
      <c r="D50" t="s">
        <v>41</v>
      </c>
      <c r="E50" s="6">
        <v>305698.11148800002</v>
      </c>
      <c r="F50" s="8">
        <v>74081.279999999999</v>
      </c>
    </row>
    <row r="51" spans="1:6" hidden="1" x14ac:dyDescent="0.35">
      <c r="A51">
        <v>0</v>
      </c>
      <c r="B51" t="s">
        <v>27</v>
      </c>
      <c r="C51" t="s">
        <v>39</v>
      </c>
      <c r="D51" t="s">
        <v>42</v>
      </c>
      <c r="E51" s="6">
        <v>80518.699008000011</v>
      </c>
      <c r="F51" s="8">
        <v>679584.65600000008</v>
      </c>
    </row>
    <row r="52" spans="1:6" hidden="1" x14ac:dyDescent="0.35">
      <c r="A52">
        <v>0</v>
      </c>
      <c r="B52" t="s">
        <v>27</v>
      </c>
      <c r="C52" t="s">
        <v>32</v>
      </c>
      <c r="D52" t="s">
        <v>42</v>
      </c>
      <c r="E52" s="6">
        <v>323310.77222400001</v>
      </c>
      <c r="F52" s="8">
        <v>2728770.3680000002</v>
      </c>
    </row>
    <row r="53" spans="1:6" hidden="1" x14ac:dyDescent="0.35">
      <c r="A53">
        <v>0</v>
      </c>
      <c r="B53" t="s">
        <v>32</v>
      </c>
      <c r="C53" t="s">
        <v>17</v>
      </c>
      <c r="D53" t="s">
        <v>42</v>
      </c>
      <c r="E53" s="6">
        <v>383950.85414400004</v>
      </c>
      <c r="F53" s="8">
        <v>3240577.8080000007</v>
      </c>
    </row>
    <row r="54" spans="1:6" hidden="1" x14ac:dyDescent="0.35">
      <c r="A54">
        <v>0</v>
      </c>
      <c r="B54" t="s">
        <v>32</v>
      </c>
      <c r="C54" t="s">
        <v>28</v>
      </c>
      <c r="D54" t="s">
        <v>42</v>
      </c>
      <c r="E54" s="6">
        <v>263597.672448</v>
      </c>
      <c r="F54" s="8">
        <v>2224786.7360000005</v>
      </c>
    </row>
    <row r="55" spans="1:6" hidden="1" x14ac:dyDescent="0.35">
      <c r="A55">
        <v>0</v>
      </c>
      <c r="B55" t="s">
        <v>32</v>
      </c>
      <c r="C55" t="s">
        <v>27</v>
      </c>
      <c r="D55" t="s">
        <v>42</v>
      </c>
      <c r="E55" s="6">
        <v>323310.77222400001</v>
      </c>
      <c r="F55" s="8">
        <v>2728770.3680000002</v>
      </c>
    </row>
    <row r="56" spans="1:6" hidden="1" x14ac:dyDescent="0.35">
      <c r="A56">
        <v>0</v>
      </c>
      <c r="B56" t="s">
        <v>32</v>
      </c>
      <c r="C56" t="s">
        <v>30</v>
      </c>
      <c r="D56" t="s">
        <v>41</v>
      </c>
      <c r="E56" s="6">
        <v>471215.92320000002</v>
      </c>
      <c r="F56" s="8">
        <v>114192</v>
      </c>
    </row>
    <row r="57" spans="1:6" hidden="1" x14ac:dyDescent="0.35">
      <c r="A57">
        <v>0</v>
      </c>
      <c r="B57" t="s">
        <v>32</v>
      </c>
      <c r="C57" t="s">
        <v>19</v>
      </c>
      <c r="D57" t="s">
        <v>41</v>
      </c>
      <c r="E57" s="6">
        <v>401074.27430400002</v>
      </c>
      <c r="F57" s="8">
        <v>97194.240000000005</v>
      </c>
    </row>
    <row r="58" spans="1:6" hidden="1" x14ac:dyDescent="0.35">
      <c r="A58">
        <v>0</v>
      </c>
      <c r="B58" t="s">
        <v>32</v>
      </c>
      <c r="C58" t="s">
        <v>29</v>
      </c>
      <c r="D58" t="s">
        <v>41</v>
      </c>
      <c r="E58" s="6">
        <v>188177.37523200002</v>
      </c>
      <c r="F58" s="8">
        <v>45601.919999999998</v>
      </c>
    </row>
    <row r="59" spans="1:6" hidden="1" x14ac:dyDescent="0.35">
      <c r="A59">
        <v>0</v>
      </c>
      <c r="B59" t="s">
        <v>32</v>
      </c>
      <c r="C59" t="s">
        <v>29</v>
      </c>
      <c r="D59" t="s">
        <v>42</v>
      </c>
      <c r="E59" s="6">
        <v>59610.101760000005</v>
      </c>
      <c r="F59" s="8">
        <v>503114.32000000007</v>
      </c>
    </row>
    <row r="60" spans="1:6" hidden="1" x14ac:dyDescent="0.35">
      <c r="A60">
        <v>0</v>
      </c>
      <c r="B60" t="s">
        <v>32</v>
      </c>
      <c r="C60" t="s">
        <v>31</v>
      </c>
      <c r="D60" t="s">
        <v>42</v>
      </c>
      <c r="E60" s="6">
        <v>341953.41312000004</v>
      </c>
      <c r="F60" s="8">
        <v>2886115.8400000003</v>
      </c>
    </row>
    <row r="61" spans="1:6" hidden="1" x14ac:dyDescent="0.35">
      <c r="A61">
        <v>0</v>
      </c>
      <c r="B61" t="s">
        <v>32</v>
      </c>
      <c r="C61" t="s">
        <v>18</v>
      </c>
      <c r="D61" t="s">
        <v>41</v>
      </c>
      <c r="E61" s="6">
        <v>319499.84563200001</v>
      </c>
      <c r="F61" s="8">
        <v>77425.919999999998</v>
      </c>
    </row>
    <row r="62" spans="1:6" hidden="1" x14ac:dyDescent="0.35">
      <c r="A62">
        <v>0</v>
      </c>
      <c r="B62" t="s">
        <v>25</v>
      </c>
      <c r="C62" t="s">
        <v>14</v>
      </c>
      <c r="D62" t="s">
        <v>42</v>
      </c>
      <c r="E62" s="6">
        <v>285973.99142400001</v>
      </c>
      <c r="F62" s="8">
        <v>2413644.7680000002</v>
      </c>
    </row>
    <row r="63" spans="1:6" hidden="1" x14ac:dyDescent="0.35">
      <c r="A63">
        <v>0</v>
      </c>
      <c r="B63" t="s">
        <v>25</v>
      </c>
      <c r="C63" t="s">
        <v>47</v>
      </c>
      <c r="D63" t="s">
        <v>41</v>
      </c>
      <c r="E63" s="6">
        <v>106396.950528</v>
      </c>
      <c r="F63" s="8">
        <v>25783.68</v>
      </c>
    </row>
    <row r="64" spans="1:6" hidden="1" x14ac:dyDescent="0.35">
      <c r="A64">
        <v>0</v>
      </c>
      <c r="B64" t="s">
        <v>25</v>
      </c>
      <c r="C64" t="s">
        <v>47</v>
      </c>
      <c r="D64" t="s">
        <v>42</v>
      </c>
      <c r="E64" s="6">
        <v>108637.157376</v>
      </c>
      <c r="F64" s="8">
        <v>916906.83200000017</v>
      </c>
    </row>
    <row r="65" spans="1:6" hidden="1" x14ac:dyDescent="0.35">
      <c r="A65">
        <v>0</v>
      </c>
      <c r="B65" t="s">
        <v>25</v>
      </c>
      <c r="C65" t="s">
        <v>30</v>
      </c>
      <c r="D65" t="s">
        <v>42</v>
      </c>
      <c r="E65" s="6">
        <v>175354.12224000003</v>
      </c>
      <c r="F65" s="8">
        <v>1480003.6800000002</v>
      </c>
    </row>
    <row r="66" spans="1:6" hidden="1" x14ac:dyDescent="0.35">
      <c r="A66">
        <v>0</v>
      </c>
      <c r="B66" t="s">
        <v>25</v>
      </c>
      <c r="C66" t="s">
        <v>16</v>
      </c>
      <c r="D66" t="s">
        <v>41</v>
      </c>
      <c r="E66" s="6">
        <v>94037.188608000011</v>
      </c>
      <c r="F66" s="8">
        <v>22788.48</v>
      </c>
    </row>
    <row r="67" spans="1:6" hidden="1" x14ac:dyDescent="0.35">
      <c r="A67">
        <v>0</v>
      </c>
      <c r="B67" t="s">
        <v>25</v>
      </c>
      <c r="C67" t="s">
        <v>19</v>
      </c>
      <c r="D67" t="s">
        <v>42</v>
      </c>
      <c r="E67" s="6">
        <v>177697.32710400003</v>
      </c>
      <c r="F67" s="8">
        <v>1499780.5280000002</v>
      </c>
    </row>
    <row r="68" spans="1:6" hidden="1" x14ac:dyDescent="0.35">
      <c r="A68">
        <v>0</v>
      </c>
      <c r="B68" t="s">
        <v>25</v>
      </c>
      <c r="C68" t="s">
        <v>18</v>
      </c>
      <c r="D68" t="s">
        <v>42</v>
      </c>
      <c r="E68" s="6">
        <v>267537.34656000003</v>
      </c>
      <c r="F68" s="8">
        <v>2258037.9200000004</v>
      </c>
    </row>
    <row r="69" spans="1:6" hidden="1" x14ac:dyDescent="0.35">
      <c r="A69">
        <v>0</v>
      </c>
      <c r="B69" t="s">
        <v>30</v>
      </c>
      <c r="C69" t="s">
        <v>32</v>
      </c>
      <c r="D69" t="s">
        <v>41</v>
      </c>
      <c r="E69" s="6">
        <v>471215.92320000002</v>
      </c>
      <c r="F69" s="8">
        <v>114192</v>
      </c>
    </row>
    <row r="70" spans="1:6" hidden="1" x14ac:dyDescent="0.35">
      <c r="A70">
        <v>0</v>
      </c>
      <c r="B70" t="s">
        <v>30</v>
      </c>
      <c r="C70" t="s">
        <v>25</v>
      </c>
      <c r="D70" t="s">
        <v>42</v>
      </c>
      <c r="E70" s="6">
        <v>175354.12224000003</v>
      </c>
      <c r="F70" s="8">
        <v>1480003.6800000002</v>
      </c>
    </row>
    <row r="71" spans="1:6" hidden="1" x14ac:dyDescent="0.35">
      <c r="A71">
        <v>0</v>
      </c>
      <c r="B71" t="s">
        <v>30</v>
      </c>
      <c r="C71" t="s">
        <v>19</v>
      </c>
      <c r="D71" t="s">
        <v>41</v>
      </c>
      <c r="E71" s="6">
        <v>192503.29190400001</v>
      </c>
      <c r="F71" s="8">
        <v>46650.239999999998</v>
      </c>
    </row>
    <row r="72" spans="1:6" hidden="1" x14ac:dyDescent="0.35">
      <c r="A72">
        <v>0</v>
      </c>
      <c r="B72" t="s">
        <v>30</v>
      </c>
      <c r="C72" t="s">
        <v>19</v>
      </c>
      <c r="D72" t="s">
        <v>42</v>
      </c>
      <c r="E72" s="6">
        <v>105238.222848</v>
      </c>
      <c r="F72" s="8">
        <v>888219.53600000008</v>
      </c>
    </row>
    <row r="73" spans="1:6" hidden="1" x14ac:dyDescent="0.35">
      <c r="A73">
        <v>0</v>
      </c>
      <c r="B73" t="s">
        <v>30</v>
      </c>
      <c r="C73" t="s">
        <v>29</v>
      </c>
      <c r="D73" t="s">
        <v>41</v>
      </c>
      <c r="E73" s="6">
        <v>487386.61171200004</v>
      </c>
      <c r="F73" s="8">
        <v>118110.72</v>
      </c>
    </row>
    <row r="74" spans="1:6" hidden="1" x14ac:dyDescent="0.35">
      <c r="A74">
        <v>0</v>
      </c>
      <c r="B74" t="s">
        <v>26</v>
      </c>
      <c r="C74" t="s">
        <v>39</v>
      </c>
      <c r="D74" t="s">
        <v>41</v>
      </c>
      <c r="E74" s="6">
        <v>844068.74112000002</v>
      </c>
      <c r="F74" s="8">
        <v>204547.20000000001</v>
      </c>
    </row>
    <row r="75" spans="1:6" x14ac:dyDescent="0.35">
      <c r="A75">
        <v>21</v>
      </c>
      <c r="B75" t="s">
        <v>26</v>
      </c>
      <c r="C75" t="s">
        <v>16</v>
      </c>
      <c r="D75" t="s">
        <v>41</v>
      </c>
      <c r="E75" s="6">
        <v>243178.315776</v>
      </c>
      <c r="F75" s="8">
        <v>58930.560000000005</v>
      </c>
    </row>
    <row r="76" spans="1:6" x14ac:dyDescent="0.35">
      <c r="A76">
        <v>47</v>
      </c>
      <c r="B76" t="s">
        <v>16</v>
      </c>
      <c r="C76" t="s">
        <v>47</v>
      </c>
      <c r="D76" t="s">
        <v>41</v>
      </c>
      <c r="E76" s="6">
        <v>47482.085376000003</v>
      </c>
      <c r="F76" s="8">
        <v>11506.56</v>
      </c>
    </row>
    <row r="77" spans="1:6" x14ac:dyDescent="0.35">
      <c r="A77">
        <v>51</v>
      </c>
      <c r="B77" t="s">
        <v>16</v>
      </c>
      <c r="C77" t="s">
        <v>25</v>
      </c>
      <c r="D77" t="s">
        <v>41</v>
      </c>
      <c r="E77" s="6">
        <v>94037.188608000011</v>
      </c>
      <c r="F77" s="8">
        <v>22788.48</v>
      </c>
    </row>
    <row r="78" spans="1:6" hidden="1" x14ac:dyDescent="0.35">
      <c r="A78">
        <v>0</v>
      </c>
      <c r="B78" t="s">
        <v>16</v>
      </c>
      <c r="C78" t="s">
        <v>26</v>
      </c>
      <c r="D78" t="s">
        <v>41</v>
      </c>
      <c r="E78" s="6">
        <v>243178.315776</v>
      </c>
      <c r="F78" s="8">
        <v>58930.560000000005</v>
      </c>
    </row>
    <row r="79" spans="1:6" hidden="1" x14ac:dyDescent="0.35">
      <c r="A79">
        <v>0</v>
      </c>
      <c r="B79" t="s">
        <v>19</v>
      </c>
      <c r="C79" t="s">
        <v>14</v>
      </c>
      <c r="D79" t="s">
        <v>42</v>
      </c>
      <c r="E79" s="6">
        <v>263005.43385600002</v>
      </c>
      <c r="F79" s="8">
        <v>2219788.1920000003</v>
      </c>
    </row>
    <row r="80" spans="1:6" hidden="1" x14ac:dyDescent="0.35">
      <c r="A80">
        <v>0</v>
      </c>
      <c r="B80" t="s">
        <v>19</v>
      </c>
      <c r="C80" t="s">
        <v>32</v>
      </c>
      <c r="D80" t="s">
        <v>41</v>
      </c>
      <c r="E80" s="6">
        <v>401074.27430400002</v>
      </c>
      <c r="F80" s="8">
        <v>97194.240000000005</v>
      </c>
    </row>
    <row r="81" spans="1:6" hidden="1" x14ac:dyDescent="0.35">
      <c r="A81">
        <v>0</v>
      </c>
      <c r="B81" t="s">
        <v>19</v>
      </c>
      <c r="C81" t="s">
        <v>25</v>
      </c>
      <c r="D81" t="s">
        <v>42</v>
      </c>
      <c r="E81" s="6">
        <v>177697.32710400003</v>
      </c>
      <c r="F81" s="8">
        <v>1499780.5280000002</v>
      </c>
    </row>
    <row r="82" spans="1:6" x14ac:dyDescent="0.35">
      <c r="A82">
        <v>21</v>
      </c>
      <c r="B82" t="s">
        <v>19</v>
      </c>
      <c r="C82" t="s">
        <v>30</v>
      </c>
      <c r="D82" t="s">
        <v>41</v>
      </c>
      <c r="E82" s="6">
        <v>192503.29190400001</v>
      </c>
      <c r="F82" s="8">
        <v>46650.239999999998</v>
      </c>
    </row>
    <row r="83" spans="1:6" hidden="1" x14ac:dyDescent="0.35">
      <c r="A83">
        <v>0</v>
      </c>
      <c r="B83" t="s">
        <v>19</v>
      </c>
      <c r="C83" t="s">
        <v>30</v>
      </c>
      <c r="D83" t="s">
        <v>42</v>
      </c>
      <c r="E83" s="6">
        <v>105238.222848</v>
      </c>
      <c r="F83" s="8">
        <v>888219.53600000008</v>
      </c>
    </row>
    <row r="84" spans="1:6" x14ac:dyDescent="0.35">
      <c r="A84">
        <v>20</v>
      </c>
      <c r="B84" t="s">
        <v>19</v>
      </c>
      <c r="C84" t="s">
        <v>29</v>
      </c>
      <c r="D84" t="s">
        <v>41</v>
      </c>
      <c r="E84" s="6">
        <v>482545.70496000006</v>
      </c>
      <c r="F84" s="8">
        <v>116937.60000000001</v>
      </c>
    </row>
    <row r="85" spans="1:6" hidden="1" x14ac:dyDescent="0.35">
      <c r="A85">
        <v>0</v>
      </c>
      <c r="B85" t="s">
        <v>19</v>
      </c>
      <c r="C85" t="s">
        <v>18</v>
      </c>
      <c r="D85" t="s">
        <v>41</v>
      </c>
      <c r="E85" s="6">
        <v>267897.83961600001</v>
      </c>
      <c r="F85" s="8">
        <v>64920.959999999999</v>
      </c>
    </row>
    <row r="86" spans="1:6" hidden="1" x14ac:dyDescent="0.35">
      <c r="A86">
        <v>0</v>
      </c>
      <c r="B86" t="s">
        <v>19</v>
      </c>
      <c r="C86" t="s">
        <v>18</v>
      </c>
      <c r="D86" t="s">
        <v>42</v>
      </c>
      <c r="E86" s="6">
        <v>89788.52044800001</v>
      </c>
      <c r="F86" s="8">
        <v>757822.73600000015</v>
      </c>
    </row>
    <row r="87" spans="1:6" hidden="1" x14ac:dyDescent="0.35">
      <c r="A87">
        <v>0</v>
      </c>
      <c r="B87" t="s">
        <v>29</v>
      </c>
      <c r="C87" t="s">
        <v>28</v>
      </c>
      <c r="D87" t="s">
        <v>42</v>
      </c>
      <c r="E87" s="6">
        <v>238543.40505600002</v>
      </c>
      <c r="F87" s="8">
        <v>2013326.5920000002</v>
      </c>
    </row>
    <row r="88" spans="1:6" hidden="1" x14ac:dyDescent="0.35">
      <c r="A88">
        <v>0</v>
      </c>
      <c r="B88" t="s">
        <v>29</v>
      </c>
      <c r="C88" t="s">
        <v>32</v>
      </c>
      <c r="D88" t="s">
        <v>41</v>
      </c>
      <c r="E88" s="6">
        <v>188177.37523200002</v>
      </c>
      <c r="F88" s="8">
        <v>45601.919999999998</v>
      </c>
    </row>
    <row r="89" spans="1:6" hidden="1" x14ac:dyDescent="0.35">
      <c r="A89">
        <v>0</v>
      </c>
      <c r="B89" t="s">
        <v>29</v>
      </c>
      <c r="C89" t="s">
        <v>32</v>
      </c>
      <c r="D89" t="s">
        <v>42</v>
      </c>
      <c r="E89" s="6">
        <v>59610.101760000005</v>
      </c>
      <c r="F89" s="8">
        <v>503114.32000000007</v>
      </c>
    </row>
    <row r="90" spans="1:6" hidden="1" x14ac:dyDescent="0.35">
      <c r="A90">
        <v>0</v>
      </c>
      <c r="B90" t="s">
        <v>29</v>
      </c>
      <c r="C90" t="s">
        <v>30</v>
      </c>
      <c r="D90" t="s">
        <v>41</v>
      </c>
      <c r="E90" s="6">
        <v>487386.61171200004</v>
      </c>
      <c r="F90" s="8">
        <v>118110.72</v>
      </c>
    </row>
    <row r="91" spans="1:6" hidden="1" x14ac:dyDescent="0.35">
      <c r="A91">
        <v>0</v>
      </c>
      <c r="B91" t="s">
        <v>29</v>
      </c>
      <c r="C91" t="s">
        <v>19</v>
      </c>
      <c r="D91" t="s">
        <v>41</v>
      </c>
      <c r="E91" s="6">
        <v>482545.70496000006</v>
      </c>
      <c r="F91" s="8">
        <v>116937.60000000001</v>
      </c>
    </row>
    <row r="92" spans="1:6" hidden="1" x14ac:dyDescent="0.35">
      <c r="A92">
        <v>0</v>
      </c>
      <c r="B92" t="s">
        <v>31</v>
      </c>
      <c r="C92" t="s">
        <v>17</v>
      </c>
      <c r="D92" t="s">
        <v>42</v>
      </c>
      <c r="E92" s="6">
        <v>259606.49932800001</v>
      </c>
      <c r="F92" s="8">
        <v>2191100.8960000002</v>
      </c>
    </row>
    <row r="93" spans="1:6" hidden="1" x14ac:dyDescent="0.35">
      <c r="A93">
        <v>0</v>
      </c>
      <c r="B93" t="s">
        <v>31</v>
      </c>
      <c r="C93" t="s">
        <v>15</v>
      </c>
      <c r="D93" t="s">
        <v>42</v>
      </c>
      <c r="E93" s="6">
        <v>274644.20966400002</v>
      </c>
      <c r="F93" s="8">
        <v>2318020.4480000003</v>
      </c>
    </row>
    <row r="94" spans="1:6" hidden="1" x14ac:dyDescent="0.35">
      <c r="A94">
        <v>0</v>
      </c>
      <c r="B94" t="s">
        <v>31</v>
      </c>
      <c r="C94" t="s">
        <v>39</v>
      </c>
      <c r="D94" t="s">
        <v>42</v>
      </c>
      <c r="E94" s="6">
        <v>269571.55737600004</v>
      </c>
      <c r="F94" s="8">
        <v>2275206.8320000004</v>
      </c>
    </row>
    <row r="95" spans="1:6" hidden="1" x14ac:dyDescent="0.35">
      <c r="A95">
        <v>0</v>
      </c>
      <c r="B95" t="s">
        <v>31</v>
      </c>
      <c r="C95" t="s">
        <v>44</v>
      </c>
      <c r="D95" t="s">
        <v>42</v>
      </c>
      <c r="E95" s="6">
        <v>359334.32832000003</v>
      </c>
      <c r="F95" s="8">
        <v>3032812.24</v>
      </c>
    </row>
    <row r="96" spans="1:6" hidden="1" x14ac:dyDescent="0.35">
      <c r="A96">
        <v>0</v>
      </c>
      <c r="B96" t="s">
        <v>31</v>
      </c>
      <c r="C96" t="s">
        <v>32</v>
      </c>
      <c r="D96" t="s">
        <v>42</v>
      </c>
      <c r="E96" s="6">
        <v>341953.41312000004</v>
      </c>
      <c r="F96" s="8">
        <v>2886115.8400000003</v>
      </c>
    </row>
    <row r="97" spans="1:15" hidden="1" x14ac:dyDescent="0.35">
      <c r="A97">
        <v>0</v>
      </c>
      <c r="B97" t="s">
        <v>18</v>
      </c>
      <c r="C97" t="s">
        <v>14</v>
      </c>
      <c r="D97" t="s">
        <v>42</v>
      </c>
      <c r="E97" s="6">
        <v>334022.56588800001</v>
      </c>
      <c r="F97" s="8">
        <v>2819178.8160000006</v>
      </c>
    </row>
    <row r="98" spans="1:15" hidden="1" x14ac:dyDescent="0.35">
      <c r="A98">
        <v>0</v>
      </c>
      <c r="B98" t="s">
        <v>18</v>
      </c>
      <c r="C98" t="s">
        <v>47</v>
      </c>
      <c r="D98" t="s">
        <v>42</v>
      </c>
      <c r="E98" s="6">
        <v>286308.73497600004</v>
      </c>
      <c r="F98" s="8">
        <v>2416470.0320000001</v>
      </c>
    </row>
    <row r="99" spans="1:15" x14ac:dyDescent="0.35">
      <c r="A99">
        <v>21</v>
      </c>
      <c r="B99" t="s">
        <v>18</v>
      </c>
      <c r="C99" t="s">
        <v>32</v>
      </c>
      <c r="D99" t="s">
        <v>41</v>
      </c>
      <c r="E99" s="6">
        <v>319499.84563200001</v>
      </c>
      <c r="F99" s="8">
        <v>77425.919999999998</v>
      </c>
    </row>
    <row r="100" spans="1:15" hidden="1" x14ac:dyDescent="0.35">
      <c r="A100">
        <v>0</v>
      </c>
      <c r="B100" t="s">
        <v>18</v>
      </c>
      <c r="C100" t="s">
        <v>25</v>
      </c>
      <c r="D100" t="s">
        <v>42</v>
      </c>
      <c r="E100" s="6">
        <v>267537.34656000003</v>
      </c>
      <c r="F100" s="8">
        <v>2258037.9200000004</v>
      </c>
    </row>
    <row r="101" spans="1:15" x14ac:dyDescent="0.35">
      <c r="A101">
        <v>44</v>
      </c>
      <c r="B101" t="s">
        <v>18</v>
      </c>
      <c r="C101" t="s">
        <v>19</v>
      </c>
      <c r="D101" t="s">
        <v>41</v>
      </c>
      <c r="E101" s="6">
        <v>267897.83961600001</v>
      </c>
      <c r="F101" s="8">
        <v>64920.959999999999</v>
      </c>
    </row>
    <row r="102" spans="1:15" hidden="1" x14ac:dyDescent="0.35">
      <c r="A102">
        <v>0</v>
      </c>
      <c r="B102" t="s">
        <v>18</v>
      </c>
      <c r="C102" t="s">
        <v>19</v>
      </c>
      <c r="D102" t="s">
        <v>42</v>
      </c>
      <c r="E102" s="6">
        <v>89788.52044800001</v>
      </c>
      <c r="F102" s="8">
        <v>757822.73600000015</v>
      </c>
    </row>
    <row r="104" spans="1:15" x14ac:dyDescent="0.35">
      <c r="G104" t="s">
        <v>53</v>
      </c>
      <c r="H104" t="s">
        <v>54</v>
      </c>
      <c r="I104" t="s">
        <v>55</v>
      </c>
      <c r="J104" t="s">
        <v>60</v>
      </c>
      <c r="M104" t="s">
        <v>4</v>
      </c>
      <c r="N104" t="s">
        <v>5</v>
      </c>
      <c r="O104" t="s">
        <v>6</v>
      </c>
    </row>
    <row r="105" spans="1:15" x14ac:dyDescent="0.35">
      <c r="G105" s="6">
        <f>SUMPRODUCT($A$3:$A$100,E3:E100)</f>
        <v>13238631123.413506</v>
      </c>
      <c r="H105" s="8">
        <f>SUMPRODUCT($A$3:$A$100,F3:F100)</f>
        <v>211855868.06399998</v>
      </c>
      <c r="I105" s="12">
        <f>G105*(1-J105)+H105*J105</f>
        <v>4640959454.8828316</v>
      </c>
      <c r="J105" s="5">
        <v>0.66</v>
      </c>
      <c r="M105" t="s">
        <v>59</v>
      </c>
      <c r="N105">
        <f>SUMIF(Nodes34567[Destination],M105,Nodes34567[Units])-SUMIF(Nodes34567[Origin],M105,Nodes34567[Units])</f>
        <v>-506</v>
      </c>
      <c r="O105">
        <f>-SUM(_xlfn.ANCHORARRAY(O106))</f>
        <v>-506</v>
      </c>
    </row>
    <row r="106" spans="1:15" x14ac:dyDescent="0.35">
      <c r="G106" s="10">
        <f>G105/ABS($O$105)/1000</f>
        <v>26163.302615441709</v>
      </c>
      <c r="H106" s="8">
        <f>H105/ABS($O$105)/1000</f>
        <v>418.68748629249012</v>
      </c>
      <c r="I106" t="s">
        <v>56</v>
      </c>
      <c r="M106" t="str" cm="1">
        <f t="array" ref="M106:M123">T3Data!B2:B19</f>
        <v>MUN</v>
      </c>
      <c r="N106">
        <f>SUMIF(Nodes34567[Destination],M106,Nodes34567[Units])-SUMIF(Nodes34567[Origin],M106,Nodes34567[Units])</f>
        <v>82</v>
      </c>
      <c r="O106" cm="1">
        <f t="array" ref="O106:O123">T3Data!F2:F19</f>
        <v>82</v>
      </c>
    </row>
    <row r="107" spans="1:15" x14ac:dyDescent="0.35">
      <c r="M107" t="str">
        <v>CHE</v>
      </c>
      <c r="N107">
        <f>SUMIF(Nodes34567[Destination],M107,Nodes34567[Units])-SUMIF(Nodes34567[Origin],M107,Nodes34567[Units])</f>
        <v>9</v>
      </c>
      <c r="O107">
        <v>9</v>
      </c>
    </row>
    <row r="108" spans="1:15" x14ac:dyDescent="0.35">
      <c r="M108" t="str">
        <v>BKK</v>
      </c>
      <c r="N108">
        <f>SUMIF(Nodes34567[Destination],M108,Nodes34567[Units])-SUMIF(Nodes34567[Origin],M108,Nodes34567[Units])</f>
        <v>9</v>
      </c>
      <c r="O108">
        <v>9</v>
      </c>
    </row>
    <row r="109" spans="1:15" x14ac:dyDescent="0.35">
      <c r="M109" t="str">
        <v>DAL</v>
      </c>
      <c r="N109">
        <f>SUMIF(Nodes34567[Destination],M109,Nodes34567[Units])-SUMIF(Nodes34567[Origin],M109,Nodes34567[Units])</f>
        <v>86</v>
      </c>
      <c r="O109">
        <v>86</v>
      </c>
    </row>
    <row r="110" spans="1:15" x14ac:dyDescent="0.35">
      <c r="M110" t="str">
        <v>TAM</v>
      </c>
      <c r="N110">
        <f>SUMIF(Nodes34567[Destination],M110,Nodes34567[Units])-SUMIF(Nodes34567[Origin],M110,Nodes34567[Units])</f>
        <v>5</v>
      </c>
      <c r="O110">
        <v>5</v>
      </c>
    </row>
    <row r="111" spans="1:15" x14ac:dyDescent="0.35">
      <c r="M111" t="str">
        <v>SAV</v>
      </c>
      <c r="N111">
        <f>SUMIF(Nodes34567[Destination],M111,Nodes34567[Units])-SUMIF(Nodes34567[Origin],M111,Nodes34567[Units])</f>
        <v>20</v>
      </c>
      <c r="O111">
        <v>20</v>
      </c>
    </row>
    <row r="112" spans="1:15" x14ac:dyDescent="0.35">
      <c r="M112" t="str">
        <v>ARA</v>
      </c>
      <c r="N112">
        <f>SUMIF(Nodes34567[Destination],M112,Nodes34567[Units])-SUMIF(Nodes34567[Origin],M112,Nodes34567[Units])</f>
        <v>4</v>
      </c>
      <c r="O112">
        <v>4</v>
      </c>
    </row>
    <row r="113" spans="13:15" x14ac:dyDescent="0.35">
      <c r="M113" t="str">
        <v>DUR</v>
      </c>
      <c r="N113">
        <f>SUMIF(Nodes34567[Destination],M113,Nodes34567[Units])-SUMIF(Nodes34567[Origin],M113,Nodes34567[Units])</f>
        <v>1</v>
      </c>
      <c r="O113">
        <v>1</v>
      </c>
    </row>
    <row r="114" spans="13:15" x14ac:dyDescent="0.35">
      <c r="M114" t="str">
        <v>GOA</v>
      </c>
      <c r="N114">
        <f>SUMIF(Nodes34567[Destination],M114,Nodes34567[Units])-SUMIF(Nodes34567[Origin],M114,Nodes34567[Units])</f>
        <v>48</v>
      </c>
      <c r="O114">
        <v>48</v>
      </c>
    </row>
    <row r="115" spans="13:15" x14ac:dyDescent="0.35">
      <c r="M115" t="str">
        <v>LON</v>
      </c>
      <c r="N115">
        <f>SUMIF(Nodes34567[Destination],M115,Nodes34567[Units])-SUMIF(Nodes34567[Origin],M115,Nodes34567[Units])</f>
        <v>51</v>
      </c>
      <c r="O115">
        <v>51</v>
      </c>
    </row>
    <row r="116" spans="13:15" x14ac:dyDescent="0.35">
      <c r="M116" t="str">
        <v>MOS</v>
      </c>
      <c r="N116">
        <f>SUMIF(Nodes34567[Destination],M116,Nodes34567[Units])-SUMIF(Nodes34567[Origin],M116,Nodes34567[Units])</f>
        <v>9</v>
      </c>
      <c r="O116">
        <v>9</v>
      </c>
    </row>
    <row r="117" spans="13:15" x14ac:dyDescent="0.35">
      <c r="M117" t="str">
        <v>HKG</v>
      </c>
      <c r="N117">
        <f>SUMIF(Nodes34567[Destination],M117,Nodes34567[Units])-SUMIF(Nodes34567[Origin],M117,Nodes34567[Units])</f>
        <v>85</v>
      </c>
      <c r="O117">
        <v>85</v>
      </c>
    </row>
    <row r="118" spans="13:15" x14ac:dyDescent="0.35">
      <c r="M118" t="str">
        <v>BUS</v>
      </c>
      <c r="N118">
        <f>SUMIF(Nodes34567[Destination],M118,Nodes34567[Units])-SUMIF(Nodes34567[Origin],M118,Nodes34567[Units])</f>
        <v>26</v>
      </c>
      <c r="O118">
        <v>26</v>
      </c>
    </row>
    <row r="119" spans="13:15" x14ac:dyDescent="0.35">
      <c r="M119" t="str">
        <v>LAX</v>
      </c>
      <c r="N119">
        <f>SUMIF(Nodes34567[Destination],M119,Nodes34567[Units])-SUMIF(Nodes34567[Origin],M119,Nodes34567[Units])</f>
        <v>21</v>
      </c>
      <c r="O119">
        <v>21</v>
      </c>
    </row>
    <row r="120" spans="13:15" x14ac:dyDescent="0.35">
      <c r="M120" t="str">
        <v>SEA</v>
      </c>
      <c r="N120">
        <f>SUMIF(Nodes34567[Destination],M120,Nodes34567[Units])-SUMIF(Nodes34567[Origin],M120,Nodes34567[Units])</f>
        <v>20</v>
      </c>
      <c r="O120">
        <v>20</v>
      </c>
    </row>
    <row r="121" spans="13:15" x14ac:dyDescent="0.35">
      <c r="M121" t="str">
        <v>MON</v>
      </c>
      <c r="N121">
        <f>SUMIF(Nodes34567[Destination],M121,Nodes34567[Units])-SUMIF(Nodes34567[Origin],M121,Nodes34567[Units])</f>
        <v>21</v>
      </c>
      <c r="O121">
        <v>21</v>
      </c>
    </row>
    <row r="122" spans="13:15" x14ac:dyDescent="0.35">
      <c r="M122" t="str">
        <v>SYD</v>
      </c>
      <c r="N122">
        <f>SUMIF(Nodes34567[Destination],M122,Nodes34567[Units])-SUMIF(Nodes34567[Origin],M122,Nodes34567[Units])</f>
        <v>4</v>
      </c>
      <c r="O122">
        <v>4</v>
      </c>
    </row>
    <row r="123" spans="13:15" x14ac:dyDescent="0.35">
      <c r="M123" t="str">
        <v>DBI</v>
      </c>
      <c r="N123">
        <f>SUMIF(Nodes34567[Destination],M123,Nodes34567[Units])-SUMIF(Nodes34567[Origin],M123,Nodes34567[Units])</f>
        <v>5</v>
      </c>
      <c r="O123">
        <v>5</v>
      </c>
    </row>
  </sheetData>
  <conditionalFormatting sqref="A3:A102">
    <cfRule type="cellIs" dxfId="2" priority="1" operator="greaterThan">
      <formula>0</formula>
    </cfRule>
  </conditionalFormatting>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3CA3F3-3693-47BC-9557-06A1C47E7931}">
  <sheetPr codeName="Sheet9">
    <tabColor rgb="FF92D050"/>
  </sheetPr>
  <dimension ref="A2:P123"/>
  <sheetViews>
    <sheetView zoomScale="85" zoomScaleNormal="85" workbookViewId="0">
      <selection activeCell="K2" sqref="K2"/>
    </sheetView>
  </sheetViews>
  <sheetFormatPr defaultColWidth="8.81640625" defaultRowHeight="14" x14ac:dyDescent="0.3"/>
  <cols>
    <col min="1" max="1" width="8.6328125" style="2" bestFit="1" customWidth="1"/>
    <col min="2" max="2" width="9.81640625" style="2" bestFit="1" customWidth="1"/>
    <col min="3" max="3" width="14.81640625" style="2" bestFit="1" customWidth="1"/>
    <col min="4" max="4" width="9.1796875" style="2" bestFit="1" customWidth="1"/>
    <col min="5" max="5" width="16.90625" style="2" bestFit="1" customWidth="1"/>
    <col min="6" max="6" width="14" style="2" bestFit="1" customWidth="1"/>
    <col min="7" max="7" width="21.08984375" style="2" bestFit="1" customWidth="1"/>
    <col min="8" max="8" width="15.81640625" style="2" bestFit="1" customWidth="1"/>
    <col min="9" max="9" width="19.81640625" style="2" bestFit="1" customWidth="1"/>
    <col min="10" max="10" width="19.54296875" style="2" bestFit="1" customWidth="1"/>
    <col min="11" max="11" width="5.453125" style="2" bestFit="1" customWidth="1"/>
    <col min="12" max="12" width="4.54296875" style="2" bestFit="1" customWidth="1"/>
    <col min="13" max="13" width="10" style="2" customWidth="1"/>
    <col min="14" max="14" width="5.90625" style="2" bestFit="1" customWidth="1"/>
    <col min="15" max="15" width="7.1796875" style="2" bestFit="1" customWidth="1"/>
    <col min="16" max="16" width="8.6328125" style="2" bestFit="1" customWidth="1"/>
    <col min="17" max="16384" width="8.81640625" style="2"/>
  </cols>
  <sheetData>
    <row r="2" spans="1:12" x14ac:dyDescent="0.3">
      <c r="A2" s="2" t="s">
        <v>0</v>
      </c>
      <c r="B2" s="2" t="s">
        <v>1</v>
      </c>
      <c r="C2" s="2" t="s">
        <v>2</v>
      </c>
      <c r="D2" s="2" t="s">
        <v>46</v>
      </c>
      <c r="E2" s="2" t="s">
        <v>3</v>
      </c>
      <c r="F2" s="2" t="s">
        <v>40</v>
      </c>
      <c r="G2" s="2" t="s">
        <v>61</v>
      </c>
      <c r="H2" s="2" t="s">
        <v>63</v>
      </c>
      <c r="I2" s="2" t="s">
        <v>51</v>
      </c>
      <c r="J2" s="2" t="s">
        <v>64</v>
      </c>
      <c r="K2" s="2" t="s">
        <v>62</v>
      </c>
      <c r="L2" s="2" t="s">
        <v>52</v>
      </c>
    </row>
    <row r="3" spans="1:12" x14ac:dyDescent="0.3">
      <c r="A3" s="18">
        <v>189</v>
      </c>
      <c r="B3" s="18" t="s">
        <v>59</v>
      </c>
      <c r="C3" s="18" t="str">
        <f>T3Data!B2</f>
        <v>MUN</v>
      </c>
      <c r="D3" s="18" t="s">
        <v>59</v>
      </c>
      <c r="E3" s="32">
        <f>T3Data!J2</f>
        <v>27554200</v>
      </c>
      <c r="F3" s="33">
        <f>T3Data!L2</f>
        <v>330000</v>
      </c>
      <c r="G3" s="2">
        <v>1</v>
      </c>
      <c r="H3" s="2">
        <v>999</v>
      </c>
      <c r="I3" s="2" cm="1">
        <f t="array" ref="I3:I10">T3Data!M2:M9</f>
        <v>1</v>
      </c>
      <c r="J3" s="2">
        <f t="shared" ref="J3:J10" si="0">G3*H3</f>
        <v>999</v>
      </c>
      <c r="K3" s="2">
        <f t="shared" ref="K3:K10" si="1">G3*I3</f>
        <v>1</v>
      </c>
      <c r="L3" s="2" cm="1">
        <f t="array" ref="L3:L10">T3Data!N2:N9</f>
        <v>210</v>
      </c>
    </row>
    <row r="4" spans="1:12" x14ac:dyDescent="0.3">
      <c r="A4" s="18">
        <v>10</v>
      </c>
      <c r="B4" s="18" t="s">
        <v>59</v>
      </c>
      <c r="C4" s="18" t="str">
        <f>T3Data!B3</f>
        <v>CHE</v>
      </c>
      <c r="D4" s="18" t="s">
        <v>59</v>
      </c>
      <c r="E4" s="32">
        <f>T3Data!J3</f>
        <v>25048600</v>
      </c>
      <c r="F4" s="33">
        <f>T3Data!L3</f>
        <v>330000</v>
      </c>
      <c r="G4" s="2">
        <v>1</v>
      </c>
      <c r="H4" s="2">
        <v>999</v>
      </c>
      <c r="I4" s="2">
        <v>5</v>
      </c>
      <c r="J4" s="2">
        <f t="shared" si="0"/>
        <v>999</v>
      </c>
      <c r="K4" s="2">
        <f t="shared" si="1"/>
        <v>5</v>
      </c>
      <c r="L4" s="2">
        <v>10</v>
      </c>
    </row>
    <row r="5" spans="1:12" x14ac:dyDescent="0.3">
      <c r="A5" s="18">
        <v>10</v>
      </c>
      <c r="B5" s="18" t="s">
        <v>59</v>
      </c>
      <c r="C5" s="18" t="str">
        <f>T3Data!B4</f>
        <v>BKK</v>
      </c>
      <c r="D5" s="18" t="s">
        <v>59</v>
      </c>
      <c r="E5" s="32">
        <f>T3Data!J4</f>
        <v>25232200</v>
      </c>
      <c r="F5" s="33">
        <f>T3Data!L4</f>
        <v>330000</v>
      </c>
      <c r="G5" s="2">
        <v>1</v>
      </c>
      <c r="H5" s="2">
        <v>999</v>
      </c>
      <c r="I5" s="2">
        <v>5</v>
      </c>
      <c r="J5" s="2">
        <f t="shared" si="0"/>
        <v>999</v>
      </c>
      <c r="K5" s="2">
        <f t="shared" si="1"/>
        <v>5</v>
      </c>
      <c r="L5" s="2">
        <v>10</v>
      </c>
    </row>
    <row r="6" spans="1:12" x14ac:dyDescent="0.3">
      <c r="A6" s="18">
        <v>200</v>
      </c>
      <c r="B6" s="18" t="s">
        <v>59</v>
      </c>
      <c r="C6" s="18" t="str">
        <f>T3Data!B5</f>
        <v>DAL</v>
      </c>
      <c r="D6" s="18" t="s">
        <v>59</v>
      </c>
      <c r="E6" s="32">
        <f>T3Data!J5</f>
        <v>25228600</v>
      </c>
      <c r="F6" s="33">
        <f>T3Data!L5</f>
        <v>330000</v>
      </c>
      <c r="G6" s="2">
        <v>1</v>
      </c>
      <c r="H6" s="2">
        <v>999</v>
      </c>
      <c r="I6" s="2">
        <v>5</v>
      </c>
      <c r="J6" s="2">
        <f t="shared" si="0"/>
        <v>999</v>
      </c>
      <c r="K6" s="2">
        <f t="shared" si="1"/>
        <v>5</v>
      </c>
      <c r="L6" s="2">
        <v>230</v>
      </c>
    </row>
    <row r="7" spans="1:12" x14ac:dyDescent="0.3">
      <c r="A7" s="18">
        <v>70</v>
      </c>
      <c r="B7" s="18" t="s">
        <v>59</v>
      </c>
      <c r="C7" s="18" t="str">
        <f>T3Data!B6</f>
        <v>TAM</v>
      </c>
      <c r="D7" s="18" t="s">
        <v>59</v>
      </c>
      <c r="E7" s="32">
        <f>T3Data!J6</f>
        <v>25223200</v>
      </c>
      <c r="F7" s="33">
        <f>T3Data!L6</f>
        <v>330000</v>
      </c>
      <c r="G7" s="2">
        <v>1</v>
      </c>
      <c r="H7" s="2">
        <v>999</v>
      </c>
      <c r="I7" s="2">
        <v>5</v>
      </c>
      <c r="J7" s="2">
        <f t="shared" si="0"/>
        <v>999</v>
      </c>
      <c r="K7" s="2">
        <f t="shared" si="1"/>
        <v>5</v>
      </c>
      <c r="L7" s="2">
        <v>70</v>
      </c>
    </row>
    <row r="8" spans="1:12" x14ac:dyDescent="0.3">
      <c r="A8" s="18">
        <v>17</v>
      </c>
      <c r="B8" s="18" t="s">
        <v>59</v>
      </c>
      <c r="C8" s="18" t="str">
        <f>T3Data!B7</f>
        <v>SAV</v>
      </c>
      <c r="D8" s="18" t="s">
        <v>59</v>
      </c>
      <c r="E8" s="32">
        <f>T3Data!J7</f>
        <v>26305000</v>
      </c>
      <c r="F8" s="33">
        <f>T3Data!L7</f>
        <v>330000</v>
      </c>
      <c r="G8" s="2">
        <v>1</v>
      </c>
      <c r="H8" s="2">
        <v>999</v>
      </c>
      <c r="I8" s="2">
        <v>5</v>
      </c>
      <c r="J8" s="2">
        <f t="shared" si="0"/>
        <v>999</v>
      </c>
      <c r="K8" s="2">
        <f t="shared" si="1"/>
        <v>5</v>
      </c>
      <c r="L8" s="2">
        <v>145</v>
      </c>
    </row>
    <row r="9" spans="1:12" x14ac:dyDescent="0.3">
      <c r="A9" s="18">
        <v>5</v>
      </c>
      <c r="B9" s="18" t="s">
        <v>59</v>
      </c>
      <c r="C9" s="18" t="str">
        <f>T3Data!B8</f>
        <v>ARA</v>
      </c>
      <c r="D9" s="18" t="s">
        <v>59</v>
      </c>
      <c r="E9" s="32">
        <f>T3Data!J8</f>
        <v>25230400</v>
      </c>
      <c r="F9" s="33">
        <f>T3Data!L8</f>
        <v>330000</v>
      </c>
      <c r="G9" s="2">
        <v>1</v>
      </c>
      <c r="H9" s="2">
        <v>999</v>
      </c>
      <c r="I9" s="2">
        <v>5</v>
      </c>
      <c r="J9" s="2">
        <f t="shared" si="0"/>
        <v>999</v>
      </c>
      <c r="K9" s="2">
        <f t="shared" si="1"/>
        <v>5</v>
      </c>
      <c r="L9" s="2">
        <v>10</v>
      </c>
    </row>
    <row r="10" spans="1:12" x14ac:dyDescent="0.3">
      <c r="A10" s="18">
        <v>5</v>
      </c>
      <c r="B10" s="18" t="s">
        <v>59</v>
      </c>
      <c r="C10" s="18" t="str">
        <f>T3Data!B9</f>
        <v>DUR</v>
      </c>
      <c r="D10" s="18" t="s">
        <v>59</v>
      </c>
      <c r="E10" s="32">
        <f>T3Data!J9</f>
        <v>25282600</v>
      </c>
      <c r="F10" s="33">
        <f>T3Data!L9</f>
        <v>330000</v>
      </c>
      <c r="G10" s="2">
        <v>1</v>
      </c>
      <c r="H10" s="2">
        <v>999</v>
      </c>
      <c r="I10" s="2">
        <v>5</v>
      </c>
      <c r="J10" s="2">
        <f t="shared" si="0"/>
        <v>999</v>
      </c>
      <c r="K10" s="2">
        <f t="shared" si="1"/>
        <v>5</v>
      </c>
      <c r="L10" s="2">
        <v>20</v>
      </c>
    </row>
    <row r="11" spans="1:12" x14ac:dyDescent="0.3">
      <c r="A11" s="2">
        <v>1</v>
      </c>
      <c r="B11" s="2" t="s">
        <v>14</v>
      </c>
      <c r="C11" s="2" t="s">
        <v>47</v>
      </c>
      <c r="D11" s="2" t="s">
        <v>42</v>
      </c>
      <c r="E11" s="29">
        <v>255229.08364800003</v>
      </c>
      <c r="F11" s="30">
        <v>2154155.1360000004</v>
      </c>
    </row>
    <row r="12" spans="1:12" hidden="1" x14ac:dyDescent="0.3">
      <c r="A12" s="2">
        <v>0</v>
      </c>
      <c r="B12" s="2" t="s">
        <v>14</v>
      </c>
      <c r="C12" s="2" t="s">
        <v>25</v>
      </c>
      <c r="D12" s="2" t="s">
        <v>42</v>
      </c>
      <c r="E12" s="29">
        <v>285973.99142400001</v>
      </c>
      <c r="F12" s="30">
        <v>2413644.7680000002</v>
      </c>
    </row>
    <row r="13" spans="1:12" hidden="1" x14ac:dyDescent="0.3">
      <c r="A13" s="2">
        <v>0</v>
      </c>
      <c r="B13" s="2" t="s">
        <v>14</v>
      </c>
      <c r="C13" s="2" t="s">
        <v>19</v>
      </c>
      <c r="D13" s="2" t="s">
        <v>42</v>
      </c>
      <c r="E13" s="29">
        <v>263005.43385600002</v>
      </c>
      <c r="F13" s="30">
        <v>2219788.1920000003</v>
      </c>
    </row>
    <row r="14" spans="1:12" hidden="1" x14ac:dyDescent="0.3">
      <c r="A14" s="2">
        <v>0</v>
      </c>
      <c r="B14" s="2" t="s">
        <v>14</v>
      </c>
      <c r="C14" s="2" t="s">
        <v>18</v>
      </c>
      <c r="D14" s="2" t="s">
        <v>42</v>
      </c>
      <c r="E14" s="29">
        <v>334022.56588800001</v>
      </c>
      <c r="F14" s="30">
        <v>2819178.8160000006</v>
      </c>
    </row>
    <row r="15" spans="1:12" hidden="1" x14ac:dyDescent="0.3">
      <c r="A15" s="2">
        <v>0</v>
      </c>
      <c r="B15" s="2" t="s">
        <v>17</v>
      </c>
      <c r="C15" s="2" t="s">
        <v>15</v>
      </c>
      <c r="D15" s="2" t="s">
        <v>42</v>
      </c>
      <c r="E15" s="29">
        <v>133176.43468800001</v>
      </c>
      <c r="F15" s="30">
        <v>1124020.4160000002</v>
      </c>
    </row>
    <row r="16" spans="1:12" hidden="1" x14ac:dyDescent="0.3">
      <c r="A16" s="2">
        <v>0</v>
      </c>
      <c r="B16" s="2" t="s">
        <v>17</v>
      </c>
      <c r="C16" s="2" t="s">
        <v>27</v>
      </c>
      <c r="D16" s="2" t="s">
        <v>42</v>
      </c>
      <c r="E16" s="29">
        <v>70579.390464000011</v>
      </c>
      <c r="F16" s="30">
        <v>595696.04800000007</v>
      </c>
    </row>
    <row r="17" spans="1:6" hidden="1" x14ac:dyDescent="0.3">
      <c r="A17" s="2">
        <v>0</v>
      </c>
      <c r="B17" s="2" t="s">
        <v>17</v>
      </c>
      <c r="C17" s="2" t="s">
        <v>32</v>
      </c>
      <c r="D17" s="2" t="s">
        <v>42</v>
      </c>
      <c r="E17" s="29">
        <v>383950.85414400004</v>
      </c>
      <c r="F17" s="30">
        <v>3240577.8080000007</v>
      </c>
    </row>
    <row r="18" spans="1:6" x14ac:dyDescent="0.3">
      <c r="A18" s="2">
        <v>1</v>
      </c>
      <c r="B18" s="2" t="s">
        <v>17</v>
      </c>
      <c r="C18" s="2" t="s">
        <v>31</v>
      </c>
      <c r="D18" s="2" t="s">
        <v>42</v>
      </c>
      <c r="E18" s="29">
        <v>259606.49932800001</v>
      </c>
      <c r="F18" s="30">
        <v>2191100.8960000002</v>
      </c>
    </row>
    <row r="19" spans="1:6" hidden="1" x14ac:dyDescent="0.3">
      <c r="A19" s="2">
        <v>0</v>
      </c>
      <c r="B19" s="2" t="s">
        <v>28</v>
      </c>
      <c r="C19" s="2" t="s">
        <v>39</v>
      </c>
      <c r="D19" s="2" t="s">
        <v>42</v>
      </c>
      <c r="E19" s="29">
        <v>27011.229696000002</v>
      </c>
      <c r="F19" s="30">
        <v>227977.07200000004</v>
      </c>
    </row>
    <row r="20" spans="1:6" hidden="1" x14ac:dyDescent="0.3">
      <c r="A20" s="2">
        <v>0</v>
      </c>
      <c r="B20" s="2" t="s">
        <v>28</v>
      </c>
      <c r="C20" s="2" t="s">
        <v>27</v>
      </c>
      <c r="D20" s="2" t="s">
        <v>42</v>
      </c>
      <c r="E20" s="29">
        <v>57138.149376000001</v>
      </c>
      <c r="F20" s="30">
        <v>482250.83200000005</v>
      </c>
    </row>
    <row r="21" spans="1:6" hidden="1" x14ac:dyDescent="0.3">
      <c r="A21" s="2">
        <v>0</v>
      </c>
      <c r="B21" s="2" t="s">
        <v>28</v>
      </c>
      <c r="C21" s="2" t="s">
        <v>32</v>
      </c>
      <c r="D21" s="2" t="s">
        <v>42</v>
      </c>
      <c r="E21" s="29">
        <v>263597.672448</v>
      </c>
      <c r="F21" s="30">
        <v>2224786.7360000005</v>
      </c>
    </row>
    <row r="22" spans="1:6" hidden="1" x14ac:dyDescent="0.3">
      <c r="A22" s="2">
        <v>0</v>
      </c>
      <c r="B22" s="2" t="s">
        <v>28</v>
      </c>
      <c r="C22" s="2" t="s">
        <v>29</v>
      </c>
      <c r="D22" s="2" t="s">
        <v>42</v>
      </c>
      <c r="E22" s="29">
        <v>238543.40505600002</v>
      </c>
      <c r="F22" s="30">
        <v>2013326.5920000002</v>
      </c>
    </row>
    <row r="23" spans="1:6" hidden="1" x14ac:dyDescent="0.3">
      <c r="A23" s="2">
        <v>0</v>
      </c>
      <c r="B23" s="2" t="s">
        <v>15</v>
      </c>
      <c r="C23" s="2" t="s">
        <v>17</v>
      </c>
      <c r="D23" s="2" t="s">
        <v>42</v>
      </c>
      <c r="E23" s="29">
        <v>133176.43468800001</v>
      </c>
      <c r="F23" s="30">
        <v>1124020.4160000002</v>
      </c>
    </row>
    <row r="24" spans="1:6" x14ac:dyDescent="0.3">
      <c r="A24" s="2">
        <v>1</v>
      </c>
      <c r="B24" s="2" t="s">
        <v>15</v>
      </c>
      <c r="C24" s="2" t="s">
        <v>45</v>
      </c>
      <c r="D24" s="2" t="s">
        <v>42</v>
      </c>
      <c r="E24" s="29">
        <v>106783.193088</v>
      </c>
      <c r="F24" s="30">
        <v>901259.21600000013</v>
      </c>
    </row>
    <row r="25" spans="1:6" hidden="1" x14ac:dyDescent="0.3">
      <c r="A25" s="2">
        <v>0</v>
      </c>
      <c r="B25" s="2" t="s">
        <v>15</v>
      </c>
      <c r="C25" s="2" t="s">
        <v>44</v>
      </c>
      <c r="D25" s="2" t="s">
        <v>42</v>
      </c>
      <c r="E25" s="29">
        <v>222243.96902400002</v>
      </c>
      <c r="F25" s="30">
        <v>1875757.9680000003</v>
      </c>
    </row>
    <row r="26" spans="1:6" hidden="1" x14ac:dyDescent="0.3">
      <c r="A26" s="2">
        <v>0</v>
      </c>
      <c r="B26" s="2" t="s">
        <v>15</v>
      </c>
      <c r="C26" s="2" t="s">
        <v>47</v>
      </c>
      <c r="D26" s="2" t="s">
        <v>42</v>
      </c>
      <c r="E26" s="29">
        <v>271013.52960000001</v>
      </c>
      <c r="F26" s="30">
        <v>2287377.2000000002</v>
      </c>
    </row>
    <row r="27" spans="1:6" hidden="1" x14ac:dyDescent="0.3">
      <c r="A27" s="2">
        <v>0</v>
      </c>
      <c r="B27" s="2" t="s">
        <v>15</v>
      </c>
      <c r="C27" s="2" t="s">
        <v>31</v>
      </c>
      <c r="D27" s="2" t="s">
        <v>42</v>
      </c>
      <c r="E27" s="29">
        <v>274644.20966400002</v>
      </c>
      <c r="F27" s="30">
        <v>2318020.4480000003</v>
      </c>
    </row>
    <row r="28" spans="1:6" x14ac:dyDescent="0.3">
      <c r="A28" s="2">
        <v>26</v>
      </c>
      <c r="B28" s="2" t="s">
        <v>39</v>
      </c>
      <c r="C28" s="2" t="s">
        <v>28</v>
      </c>
      <c r="D28" s="2" t="s">
        <v>42</v>
      </c>
      <c r="E28" s="29">
        <v>27011.229696000002</v>
      </c>
      <c r="F28" s="30">
        <v>227977.07200000004</v>
      </c>
    </row>
    <row r="29" spans="1:6" x14ac:dyDescent="0.3">
      <c r="A29" s="2">
        <v>85</v>
      </c>
      <c r="B29" s="2" t="s">
        <v>39</v>
      </c>
      <c r="C29" s="2" t="s">
        <v>27</v>
      </c>
      <c r="D29" s="2" t="s">
        <v>41</v>
      </c>
      <c r="E29" s="29">
        <v>305698.11148800002</v>
      </c>
      <c r="F29" s="30">
        <v>74081.279999999999</v>
      </c>
    </row>
    <row r="30" spans="1:6" hidden="1" x14ac:dyDescent="0.3">
      <c r="A30" s="2">
        <v>0</v>
      </c>
      <c r="B30" s="2" t="s">
        <v>39</v>
      </c>
      <c r="C30" s="2" t="s">
        <v>27</v>
      </c>
      <c r="D30" s="2" t="s">
        <v>42</v>
      </c>
      <c r="E30" s="29">
        <v>80518.699008000011</v>
      </c>
      <c r="F30" s="30">
        <v>679584.65600000008</v>
      </c>
    </row>
    <row r="31" spans="1:6" hidden="1" x14ac:dyDescent="0.3">
      <c r="A31" s="2">
        <v>0</v>
      </c>
      <c r="B31" s="2" t="s">
        <v>39</v>
      </c>
      <c r="C31" s="2" t="s">
        <v>26</v>
      </c>
      <c r="D31" s="2" t="s">
        <v>41</v>
      </c>
      <c r="E31" s="29">
        <v>844068.74112000002</v>
      </c>
      <c r="F31" s="30">
        <v>204547.20000000001</v>
      </c>
    </row>
    <row r="32" spans="1:6" x14ac:dyDescent="0.3">
      <c r="A32" s="2">
        <v>3</v>
      </c>
      <c r="B32" s="2" t="s">
        <v>39</v>
      </c>
      <c r="C32" s="2" t="s">
        <v>31</v>
      </c>
      <c r="D32" s="2" t="s">
        <v>42</v>
      </c>
      <c r="E32" s="29">
        <v>269571.55737600004</v>
      </c>
      <c r="F32" s="30">
        <v>2275206.8320000004</v>
      </c>
    </row>
    <row r="33" spans="1:6" hidden="1" x14ac:dyDescent="0.3">
      <c r="A33" s="2">
        <v>0</v>
      </c>
      <c r="B33" s="2" t="s">
        <v>45</v>
      </c>
      <c r="C33" s="2" t="s">
        <v>15</v>
      </c>
      <c r="D33" s="2" t="s">
        <v>42</v>
      </c>
      <c r="E33" s="29">
        <v>106783.193088</v>
      </c>
      <c r="F33" s="30">
        <v>901259.21600000013</v>
      </c>
    </row>
    <row r="34" spans="1:6" hidden="1" x14ac:dyDescent="0.3">
      <c r="A34" s="2">
        <v>0</v>
      </c>
      <c r="B34" s="2" t="s">
        <v>45</v>
      </c>
      <c r="C34" s="2" t="s">
        <v>44</v>
      </c>
      <c r="D34" s="2" t="s">
        <v>42</v>
      </c>
      <c r="E34" s="29">
        <v>194254.258176</v>
      </c>
      <c r="F34" s="30">
        <v>1639522.4320000003</v>
      </c>
    </row>
    <row r="35" spans="1:6" hidden="1" x14ac:dyDescent="0.3">
      <c r="A35" s="2">
        <v>0</v>
      </c>
      <c r="B35" s="2" t="s">
        <v>45</v>
      </c>
      <c r="C35" s="2" t="s">
        <v>47</v>
      </c>
      <c r="D35" s="2" t="s">
        <v>42</v>
      </c>
      <c r="E35" s="29">
        <v>211892.668416</v>
      </c>
      <c r="F35" s="30">
        <v>1788392.1120000002</v>
      </c>
    </row>
    <row r="36" spans="1:6" hidden="1" x14ac:dyDescent="0.3">
      <c r="A36" s="2">
        <v>0</v>
      </c>
      <c r="B36" s="2" t="s">
        <v>44</v>
      </c>
      <c r="C36" s="2" t="s">
        <v>15</v>
      </c>
      <c r="D36" s="2" t="s">
        <v>42</v>
      </c>
      <c r="E36" s="29">
        <v>222243.96902400002</v>
      </c>
      <c r="F36" s="30">
        <v>1875757.9680000003</v>
      </c>
    </row>
    <row r="37" spans="1:6" x14ac:dyDescent="0.3">
      <c r="A37" s="2">
        <v>4</v>
      </c>
      <c r="B37" s="2" t="s">
        <v>44</v>
      </c>
      <c r="C37" s="2" t="s">
        <v>45</v>
      </c>
      <c r="D37" s="2" t="s">
        <v>42</v>
      </c>
      <c r="E37" s="29">
        <v>194254.258176</v>
      </c>
      <c r="F37" s="30">
        <v>1639522.4320000003</v>
      </c>
    </row>
    <row r="38" spans="1:6" hidden="1" x14ac:dyDescent="0.3">
      <c r="A38" s="2">
        <v>0</v>
      </c>
      <c r="B38" s="2" t="s">
        <v>44</v>
      </c>
      <c r="C38" s="2" t="s">
        <v>47</v>
      </c>
      <c r="D38" s="2" t="s">
        <v>42</v>
      </c>
      <c r="E38" s="29">
        <v>349549.51680000004</v>
      </c>
      <c r="F38" s="30">
        <v>2950227.6000000006</v>
      </c>
    </row>
    <row r="39" spans="1:6" hidden="1" x14ac:dyDescent="0.3">
      <c r="A39" s="2">
        <v>0</v>
      </c>
      <c r="B39" s="2" t="s">
        <v>44</v>
      </c>
      <c r="C39" s="2" t="s">
        <v>31</v>
      </c>
      <c r="D39" s="2" t="s">
        <v>42</v>
      </c>
      <c r="E39" s="29">
        <v>359334.32832000003</v>
      </c>
      <c r="F39" s="30">
        <v>3032812.24</v>
      </c>
    </row>
    <row r="40" spans="1:6" hidden="1" x14ac:dyDescent="0.3">
      <c r="A40" s="2">
        <v>0</v>
      </c>
      <c r="B40" s="2" t="s">
        <v>47</v>
      </c>
      <c r="C40" s="2" t="s">
        <v>14</v>
      </c>
      <c r="D40" s="2" t="s">
        <v>42</v>
      </c>
      <c r="E40" s="29">
        <v>255229.08364800003</v>
      </c>
      <c r="F40" s="30">
        <v>2154155.1360000004</v>
      </c>
    </row>
    <row r="41" spans="1:6" hidden="1" x14ac:dyDescent="0.3">
      <c r="A41" s="2">
        <v>0</v>
      </c>
      <c r="B41" s="2" t="s">
        <v>47</v>
      </c>
      <c r="C41" s="2" t="s">
        <v>15</v>
      </c>
      <c r="D41" s="2" t="s">
        <v>42</v>
      </c>
      <c r="E41" s="29">
        <v>271013.52960000001</v>
      </c>
      <c r="F41" s="30">
        <v>2287377.2000000002</v>
      </c>
    </row>
    <row r="42" spans="1:6" hidden="1" x14ac:dyDescent="0.3">
      <c r="A42" s="2">
        <v>0</v>
      </c>
      <c r="B42" s="2" t="s">
        <v>47</v>
      </c>
      <c r="C42" s="2" t="s">
        <v>45</v>
      </c>
      <c r="D42" s="2" t="s">
        <v>42</v>
      </c>
      <c r="E42" s="29">
        <v>211892.668416</v>
      </c>
      <c r="F42" s="30">
        <v>1788392.1120000002</v>
      </c>
    </row>
    <row r="43" spans="1:6" hidden="1" x14ac:dyDescent="0.3">
      <c r="A43" s="2">
        <v>0</v>
      </c>
      <c r="B43" s="2" t="s">
        <v>47</v>
      </c>
      <c r="C43" s="2" t="s">
        <v>44</v>
      </c>
      <c r="D43" s="2" t="s">
        <v>42</v>
      </c>
      <c r="E43" s="29">
        <v>349549.51680000004</v>
      </c>
      <c r="F43" s="30">
        <v>2950227.6000000006</v>
      </c>
    </row>
    <row r="44" spans="1:6" hidden="1" x14ac:dyDescent="0.3">
      <c r="A44" s="2">
        <v>0</v>
      </c>
      <c r="B44" s="2" t="s">
        <v>47</v>
      </c>
      <c r="C44" s="2" t="s">
        <v>25</v>
      </c>
      <c r="D44" s="2" t="s">
        <v>41</v>
      </c>
      <c r="E44" s="29">
        <v>106396.950528</v>
      </c>
      <c r="F44" s="30">
        <v>25783.68</v>
      </c>
    </row>
    <row r="45" spans="1:6" hidden="1" x14ac:dyDescent="0.3">
      <c r="A45" s="2">
        <v>0</v>
      </c>
      <c r="B45" s="2" t="s">
        <v>47</v>
      </c>
      <c r="C45" s="2" t="s">
        <v>25</v>
      </c>
      <c r="D45" s="2" t="s">
        <v>42</v>
      </c>
      <c r="E45" s="29">
        <v>108637.157376</v>
      </c>
      <c r="F45" s="30">
        <v>916906.83200000017</v>
      </c>
    </row>
    <row r="46" spans="1:6" hidden="1" x14ac:dyDescent="0.3">
      <c r="A46" s="2">
        <v>0</v>
      </c>
      <c r="B46" s="2" t="s">
        <v>47</v>
      </c>
      <c r="C46" s="2" t="s">
        <v>16</v>
      </c>
      <c r="D46" s="2" t="s">
        <v>41</v>
      </c>
      <c r="E46" s="29">
        <v>47482.085376000003</v>
      </c>
      <c r="F46" s="30">
        <v>11506.56</v>
      </c>
    </row>
    <row r="47" spans="1:6" hidden="1" x14ac:dyDescent="0.3">
      <c r="A47" s="2">
        <v>0</v>
      </c>
      <c r="B47" s="2" t="s">
        <v>47</v>
      </c>
      <c r="C47" s="2" t="s">
        <v>18</v>
      </c>
      <c r="D47" s="2" t="s">
        <v>42</v>
      </c>
      <c r="E47" s="29">
        <v>286308.73497600004</v>
      </c>
      <c r="F47" s="30">
        <v>2416470.0320000001</v>
      </c>
    </row>
    <row r="48" spans="1:6" hidden="1" x14ac:dyDescent="0.3">
      <c r="A48" s="2">
        <v>0</v>
      </c>
      <c r="B48" s="2" t="s">
        <v>27</v>
      </c>
      <c r="C48" s="2" t="s">
        <v>17</v>
      </c>
      <c r="D48" s="2" t="s">
        <v>42</v>
      </c>
      <c r="E48" s="29">
        <v>70579.390464000011</v>
      </c>
      <c r="F48" s="30">
        <v>595696.04800000007</v>
      </c>
    </row>
    <row r="49" spans="1:6" hidden="1" x14ac:dyDescent="0.3">
      <c r="A49" s="2">
        <v>0</v>
      </c>
      <c r="B49" s="2" t="s">
        <v>27</v>
      </c>
      <c r="C49" s="2" t="s">
        <v>28</v>
      </c>
      <c r="D49" s="2" t="s">
        <v>42</v>
      </c>
      <c r="E49" s="29">
        <v>57138.149376000001</v>
      </c>
      <c r="F49" s="30">
        <v>482250.83200000005</v>
      </c>
    </row>
    <row r="50" spans="1:6" hidden="1" x14ac:dyDescent="0.3">
      <c r="A50" s="2">
        <v>0</v>
      </c>
      <c r="B50" s="2" t="s">
        <v>27</v>
      </c>
      <c r="C50" s="2" t="s">
        <v>39</v>
      </c>
      <c r="D50" s="2" t="s">
        <v>41</v>
      </c>
      <c r="E50" s="29">
        <v>305698.11148800002</v>
      </c>
      <c r="F50" s="30">
        <v>74081.279999999999</v>
      </c>
    </row>
    <row r="51" spans="1:6" hidden="1" x14ac:dyDescent="0.3">
      <c r="A51" s="2">
        <v>0</v>
      </c>
      <c r="B51" s="2" t="s">
        <v>27</v>
      </c>
      <c r="C51" s="2" t="s">
        <v>39</v>
      </c>
      <c r="D51" s="2" t="s">
        <v>42</v>
      </c>
      <c r="E51" s="29">
        <v>80518.699008000011</v>
      </c>
      <c r="F51" s="30">
        <v>679584.65600000008</v>
      </c>
    </row>
    <row r="52" spans="1:6" hidden="1" x14ac:dyDescent="0.3">
      <c r="A52" s="2">
        <v>0</v>
      </c>
      <c r="B52" s="2" t="s">
        <v>27</v>
      </c>
      <c r="C52" s="2" t="s">
        <v>32</v>
      </c>
      <c r="D52" s="2" t="s">
        <v>42</v>
      </c>
      <c r="E52" s="29">
        <v>323310.77222400001</v>
      </c>
      <c r="F52" s="30">
        <v>2728770.3680000002</v>
      </c>
    </row>
    <row r="53" spans="1:6" hidden="1" x14ac:dyDescent="0.3">
      <c r="A53" s="2">
        <v>0</v>
      </c>
      <c r="B53" s="2" t="s">
        <v>32</v>
      </c>
      <c r="C53" s="2" t="s">
        <v>17</v>
      </c>
      <c r="D53" s="2" t="s">
        <v>42</v>
      </c>
      <c r="E53" s="29">
        <v>383950.85414400004</v>
      </c>
      <c r="F53" s="30">
        <v>3240577.8080000007</v>
      </c>
    </row>
    <row r="54" spans="1:6" hidden="1" x14ac:dyDescent="0.3">
      <c r="A54" s="2">
        <v>0</v>
      </c>
      <c r="B54" s="2" t="s">
        <v>32</v>
      </c>
      <c r="C54" s="2" t="s">
        <v>28</v>
      </c>
      <c r="D54" s="2" t="s">
        <v>42</v>
      </c>
      <c r="E54" s="29">
        <v>263597.672448</v>
      </c>
      <c r="F54" s="30">
        <v>2224786.7360000005</v>
      </c>
    </row>
    <row r="55" spans="1:6" hidden="1" x14ac:dyDescent="0.3">
      <c r="A55" s="2">
        <v>0</v>
      </c>
      <c r="B55" s="2" t="s">
        <v>32</v>
      </c>
      <c r="C55" s="2" t="s">
        <v>27</v>
      </c>
      <c r="D55" s="2" t="s">
        <v>42</v>
      </c>
      <c r="E55" s="29">
        <v>323310.77222400001</v>
      </c>
      <c r="F55" s="30">
        <v>2728770.3680000002</v>
      </c>
    </row>
    <row r="56" spans="1:6" hidden="1" x14ac:dyDescent="0.3">
      <c r="A56" s="2">
        <v>0</v>
      </c>
      <c r="B56" s="2" t="s">
        <v>32</v>
      </c>
      <c r="C56" s="2" t="s">
        <v>30</v>
      </c>
      <c r="D56" s="2" t="s">
        <v>41</v>
      </c>
      <c r="E56" s="29">
        <v>471215.92320000002</v>
      </c>
      <c r="F56" s="30">
        <v>114192</v>
      </c>
    </row>
    <row r="57" spans="1:6" hidden="1" x14ac:dyDescent="0.3">
      <c r="A57" s="2">
        <v>0</v>
      </c>
      <c r="B57" s="2" t="s">
        <v>32</v>
      </c>
      <c r="C57" s="2" t="s">
        <v>19</v>
      </c>
      <c r="D57" s="2" t="s">
        <v>41</v>
      </c>
      <c r="E57" s="29">
        <v>401074.27430400002</v>
      </c>
      <c r="F57" s="30">
        <v>97194.240000000005</v>
      </c>
    </row>
    <row r="58" spans="1:6" hidden="1" x14ac:dyDescent="0.3">
      <c r="A58" s="2">
        <v>0</v>
      </c>
      <c r="B58" s="2" t="s">
        <v>32</v>
      </c>
      <c r="C58" s="2" t="s">
        <v>29</v>
      </c>
      <c r="D58" s="2" t="s">
        <v>41</v>
      </c>
      <c r="E58" s="29">
        <v>188177.37523200002</v>
      </c>
      <c r="F58" s="30">
        <v>45601.919999999998</v>
      </c>
    </row>
    <row r="59" spans="1:6" hidden="1" x14ac:dyDescent="0.3">
      <c r="A59" s="2">
        <v>0</v>
      </c>
      <c r="B59" s="2" t="s">
        <v>32</v>
      </c>
      <c r="C59" s="2" t="s">
        <v>29</v>
      </c>
      <c r="D59" s="2" t="s">
        <v>42</v>
      </c>
      <c r="E59" s="29">
        <v>59610.101760000005</v>
      </c>
      <c r="F59" s="30">
        <v>503114.32000000007</v>
      </c>
    </row>
    <row r="60" spans="1:6" hidden="1" x14ac:dyDescent="0.3">
      <c r="A60" s="2">
        <v>0</v>
      </c>
      <c r="B60" s="2" t="s">
        <v>32</v>
      </c>
      <c r="C60" s="2" t="s">
        <v>31</v>
      </c>
      <c r="D60" s="2" t="s">
        <v>42</v>
      </c>
      <c r="E60" s="29">
        <v>341953.41312000004</v>
      </c>
      <c r="F60" s="30">
        <v>2886115.8400000003</v>
      </c>
    </row>
    <row r="61" spans="1:6" hidden="1" x14ac:dyDescent="0.3">
      <c r="A61" s="2">
        <v>0</v>
      </c>
      <c r="B61" s="2" t="s">
        <v>32</v>
      </c>
      <c r="C61" s="2" t="s">
        <v>18</v>
      </c>
      <c r="D61" s="2" t="s">
        <v>41</v>
      </c>
      <c r="E61" s="29">
        <v>319499.84563200001</v>
      </c>
      <c r="F61" s="30">
        <v>77425.919999999998</v>
      </c>
    </row>
    <row r="62" spans="1:6" hidden="1" x14ac:dyDescent="0.3">
      <c r="A62" s="2">
        <v>0</v>
      </c>
      <c r="B62" s="2" t="s">
        <v>25</v>
      </c>
      <c r="C62" s="2" t="s">
        <v>14</v>
      </c>
      <c r="D62" s="2" t="s">
        <v>42</v>
      </c>
      <c r="E62" s="29">
        <v>285973.99142400001</v>
      </c>
      <c r="F62" s="30">
        <v>2413644.7680000002</v>
      </c>
    </row>
    <row r="63" spans="1:6" hidden="1" x14ac:dyDescent="0.3">
      <c r="A63" s="2">
        <v>0</v>
      </c>
      <c r="B63" s="2" t="s">
        <v>25</v>
      </c>
      <c r="C63" s="2" t="s">
        <v>47</v>
      </c>
      <c r="D63" s="2" t="s">
        <v>41</v>
      </c>
      <c r="E63" s="29">
        <v>106396.950528</v>
      </c>
      <c r="F63" s="30">
        <v>25783.68</v>
      </c>
    </row>
    <row r="64" spans="1:6" hidden="1" x14ac:dyDescent="0.3">
      <c r="A64" s="2">
        <v>0</v>
      </c>
      <c r="B64" s="2" t="s">
        <v>25</v>
      </c>
      <c r="C64" s="2" t="s">
        <v>47</v>
      </c>
      <c r="D64" s="2" t="s">
        <v>42</v>
      </c>
      <c r="E64" s="29">
        <v>108637.157376</v>
      </c>
      <c r="F64" s="30">
        <v>916906.83200000017</v>
      </c>
    </row>
    <row r="65" spans="1:6" hidden="1" x14ac:dyDescent="0.3">
      <c r="A65" s="2">
        <v>0</v>
      </c>
      <c r="B65" s="2" t="s">
        <v>25</v>
      </c>
      <c r="C65" s="2" t="s">
        <v>30</v>
      </c>
      <c r="D65" s="2" t="s">
        <v>42</v>
      </c>
      <c r="E65" s="29">
        <v>175354.12224000003</v>
      </c>
      <c r="F65" s="30">
        <v>1480003.6800000002</v>
      </c>
    </row>
    <row r="66" spans="1:6" hidden="1" x14ac:dyDescent="0.3">
      <c r="A66" s="2">
        <v>0</v>
      </c>
      <c r="B66" s="2" t="s">
        <v>25</v>
      </c>
      <c r="C66" s="2" t="s">
        <v>16</v>
      </c>
      <c r="D66" s="2" t="s">
        <v>41</v>
      </c>
      <c r="E66" s="29">
        <v>94037.188608000011</v>
      </c>
      <c r="F66" s="30">
        <v>22788.48</v>
      </c>
    </row>
    <row r="67" spans="1:6" hidden="1" x14ac:dyDescent="0.3">
      <c r="A67" s="2">
        <v>0</v>
      </c>
      <c r="B67" s="2" t="s">
        <v>25</v>
      </c>
      <c r="C67" s="2" t="s">
        <v>19</v>
      </c>
      <c r="D67" s="2" t="s">
        <v>42</v>
      </c>
      <c r="E67" s="29">
        <v>177697.32710400003</v>
      </c>
      <c r="F67" s="30">
        <v>1499780.5280000002</v>
      </c>
    </row>
    <row r="68" spans="1:6" hidden="1" x14ac:dyDescent="0.3">
      <c r="A68" s="2">
        <v>0</v>
      </c>
      <c r="B68" s="2" t="s">
        <v>25</v>
      </c>
      <c r="C68" s="2" t="s">
        <v>18</v>
      </c>
      <c r="D68" s="2" t="s">
        <v>42</v>
      </c>
      <c r="E68" s="29">
        <v>267537.34656000003</v>
      </c>
      <c r="F68" s="30">
        <v>2258037.9200000004</v>
      </c>
    </row>
    <row r="69" spans="1:6" hidden="1" x14ac:dyDescent="0.3">
      <c r="A69" s="2">
        <v>0</v>
      </c>
      <c r="B69" s="2" t="s">
        <v>30</v>
      </c>
      <c r="C69" s="2" t="s">
        <v>32</v>
      </c>
      <c r="D69" s="2" t="s">
        <v>41</v>
      </c>
      <c r="E69" s="29">
        <v>471215.92320000002</v>
      </c>
      <c r="F69" s="30">
        <v>114192</v>
      </c>
    </row>
    <row r="70" spans="1:6" hidden="1" x14ac:dyDescent="0.3">
      <c r="A70" s="2">
        <v>0</v>
      </c>
      <c r="B70" s="2" t="s">
        <v>30</v>
      </c>
      <c r="C70" s="2" t="s">
        <v>25</v>
      </c>
      <c r="D70" s="2" t="s">
        <v>42</v>
      </c>
      <c r="E70" s="29">
        <v>175354.12224000003</v>
      </c>
      <c r="F70" s="30">
        <v>1480003.6800000002</v>
      </c>
    </row>
    <row r="71" spans="1:6" hidden="1" x14ac:dyDescent="0.3">
      <c r="A71" s="2">
        <v>0</v>
      </c>
      <c r="B71" s="2" t="s">
        <v>30</v>
      </c>
      <c r="C71" s="2" t="s">
        <v>19</v>
      </c>
      <c r="D71" s="2" t="s">
        <v>41</v>
      </c>
      <c r="E71" s="29">
        <v>192503.29190400001</v>
      </c>
      <c r="F71" s="30">
        <v>46650.239999999998</v>
      </c>
    </row>
    <row r="72" spans="1:6" hidden="1" x14ac:dyDescent="0.3">
      <c r="A72" s="2">
        <v>0</v>
      </c>
      <c r="B72" s="2" t="s">
        <v>30</v>
      </c>
      <c r="C72" s="2" t="s">
        <v>19</v>
      </c>
      <c r="D72" s="2" t="s">
        <v>42</v>
      </c>
      <c r="E72" s="29">
        <v>105238.222848</v>
      </c>
      <c r="F72" s="30">
        <v>888219.53600000008</v>
      </c>
    </row>
    <row r="73" spans="1:6" hidden="1" x14ac:dyDescent="0.3">
      <c r="A73" s="2">
        <v>0</v>
      </c>
      <c r="B73" s="2" t="s">
        <v>30</v>
      </c>
      <c r="C73" s="2" t="s">
        <v>29</v>
      </c>
      <c r="D73" s="2" t="s">
        <v>41</v>
      </c>
      <c r="E73" s="29">
        <v>487386.61171200004</v>
      </c>
      <c r="F73" s="30">
        <v>118110.72</v>
      </c>
    </row>
    <row r="74" spans="1:6" hidden="1" x14ac:dyDescent="0.3">
      <c r="A74" s="2">
        <v>0</v>
      </c>
      <c r="B74" s="2" t="s">
        <v>26</v>
      </c>
      <c r="C74" s="2" t="s">
        <v>39</v>
      </c>
      <c r="D74" s="2" t="s">
        <v>41</v>
      </c>
      <c r="E74" s="29">
        <v>844068.74112000002</v>
      </c>
      <c r="F74" s="30">
        <v>204547.20000000001</v>
      </c>
    </row>
    <row r="75" spans="1:6" hidden="1" x14ac:dyDescent="0.3">
      <c r="A75" s="2">
        <v>0</v>
      </c>
      <c r="B75" s="2" t="s">
        <v>26</v>
      </c>
      <c r="C75" s="2" t="s">
        <v>16</v>
      </c>
      <c r="D75" s="2" t="s">
        <v>41</v>
      </c>
      <c r="E75" s="29">
        <v>243178.315776</v>
      </c>
      <c r="F75" s="30">
        <v>58930.560000000005</v>
      </c>
    </row>
    <row r="76" spans="1:6" x14ac:dyDescent="0.3">
      <c r="A76" s="2">
        <v>47</v>
      </c>
      <c r="B76" s="2" t="s">
        <v>16</v>
      </c>
      <c r="C76" s="2" t="s">
        <v>47</v>
      </c>
      <c r="D76" s="2" t="s">
        <v>41</v>
      </c>
      <c r="E76" s="29">
        <v>47482.085376000003</v>
      </c>
      <c r="F76" s="30">
        <v>11506.56</v>
      </c>
    </row>
    <row r="77" spans="1:6" x14ac:dyDescent="0.3">
      <c r="A77" s="2">
        <v>51</v>
      </c>
      <c r="B77" s="2" t="s">
        <v>16</v>
      </c>
      <c r="C77" s="2" t="s">
        <v>25</v>
      </c>
      <c r="D77" s="2" t="s">
        <v>41</v>
      </c>
      <c r="E77" s="29">
        <v>94037.188608000011</v>
      </c>
      <c r="F77" s="30">
        <v>22788.48</v>
      </c>
    </row>
    <row r="78" spans="1:6" x14ac:dyDescent="0.3">
      <c r="A78" s="2">
        <v>9</v>
      </c>
      <c r="B78" s="2" t="s">
        <v>16</v>
      </c>
      <c r="C78" s="2" t="s">
        <v>26</v>
      </c>
      <c r="D78" s="2" t="s">
        <v>41</v>
      </c>
      <c r="E78" s="29">
        <v>243178.315776</v>
      </c>
      <c r="F78" s="30">
        <v>58930.560000000005</v>
      </c>
    </row>
    <row r="79" spans="1:6" hidden="1" x14ac:dyDescent="0.3">
      <c r="A79" s="2">
        <v>0</v>
      </c>
      <c r="B79" s="2" t="s">
        <v>19</v>
      </c>
      <c r="C79" s="2" t="s">
        <v>14</v>
      </c>
      <c r="D79" s="2" t="s">
        <v>42</v>
      </c>
      <c r="E79" s="29">
        <v>263005.43385600002</v>
      </c>
      <c r="F79" s="30">
        <v>2219788.1920000003</v>
      </c>
    </row>
    <row r="80" spans="1:6" hidden="1" x14ac:dyDescent="0.3">
      <c r="A80" s="2">
        <v>0</v>
      </c>
      <c r="B80" s="2" t="s">
        <v>19</v>
      </c>
      <c r="C80" s="2" t="s">
        <v>32</v>
      </c>
      <c r="D80" s="2" t="s">
        <v>41</v>
      </c>
      <c r="E80" s="29">
        <v>401074.27430400002</v>
      </c>
      <c r="F80" s="30">
        <v>97194.240000000005</v>
      </c>
    </row>
    <row r="81" spans="1:6" hidden="1" x14ac:dyDescent="0.3">
      <c r="A81" s="2">
        <v>0</v>
      </c>
      <c r="B81" s="2" t="s">
        <v>19</v>
      </c>
      <c r="C81" s="2" t="s">
        <v>25</v>
      </c>
      <c r="D81" s="2" t="s">
        <v>42</v>
      </c>
      <c r="E81" s="29">
        <v>177697.32710400003</v>
      </c>
      <c r="F81" s="30">
        <v>1499780.5280000002</v>
      </c>
    </row>
    <row r="82" spans="1:6" x14ac:dyDescent="0.3">
      <c r="A82" s="2">
        <v>21</v>
      </c>
      <c r="B82" s="2" t="s">
        <v>19</v>
      </c>
      <c r="C82" s="2" t="s">
        <v>30</v>
      </c>
      <c r="D82" s="2" t="s">
        <v>41</v>
      </c>
      <c r="E82" s="29">
        <v>192503.29190400001</v>
      </c>
      <c r="F82" s="30">
        <v>46650.239999999998</v>
      </c>
    </row>
    <row r="83" spans="1:6" hidden="1" x14ac:dyDescent="0.3">
      <c r="A83" s="2">
        <v>0</v>
      </c>
      <c r="B83" s="2" t="s">
        <v>19</v>
      </c>
      <c r="C83" s="2" t="s">
        <v>30</v>
      </c>
      <c r="D83" s="2" t="s">
        <v>42</v>
      </c>
      <c r="E83" s="29">
        <v>105238.222848</v>
      </c>
      <c r="F83" s="30">
        <v>888219.53600000008</v>
      </c>
    </row>
    <row r="84" spans="1:6" x14ac:dyDescent="0.3">
      <c r="A84" s="2">
        <v>20</v>
      </c>
      <c r="B84" s="2" t="s">
        <v>19</v>
      </c>
      <c r="C84" s="2" t="s">
        <v>29</v>
      </c>
      <c r="D84" s="2" t="s">
        <v>41</v>
      </c>
      <c r="E84" s="29">
        <v>482545.70496000006</v>
      </c>
      <c r="F84" s="30">
        <v>116937.60000000001</v>
      </c>
    </row>
    <row r="85" spans="1:6" hidden="1" x14ac:dyDescent="0.3">
      <c r="A85" s="2">
        <v>0</v>
      </c>
      <c r="B85" s="2" t="s">
        <v>19</v>
      </c>
      <c r="C85" s="2" t="s">
        <v>18</v>
      </c>
      <c r="D85" s="2" t="s">
        <v>41</v>
      </c>
      <c r="E85" s="29">
        <v>267897.83961600001</v>
      </c>
      <c r="F85" s="30">
        <v>64920.959999999999</v>
      </c>
    </row>
    <row r="86" spans="1:6" hidden="1" x14ac:dyDescent="0.3">
      <c r="A86" s="2">
        <v>0</v>
      </c>
      <c r="B86" s="2" t="s">
        <v>19</v>
      </c>
      <c r="C86" s="2" t="s">
        <v>18</v>
      </c>
      <c r="D86" s="2" t="s">
        <v>42</v>
      </c>
      <c r="E86" s="29">
        <v>89788.52044800001</v>
      </c>
      <c r="F86" s="30">
        <v>757822.73600000015</v>
      </c>
    </row>
    <row r="87" spans="1:6" hidden="1" x14ac:dyDescent="0.3">
      <c r="A87" s="2">
        <v>0</v>
      </c>
      <c r="B87" s="2" t="s">
        <v>29</v>
      </c>
      <c r="C87" s="2" t="s">
        <v>28</v>
      </c>
      <c r="D87" s="2" t="s">
        <v>42</v>
      </c>
      <c r="E87" s="29">
        <v>238543.40505600002</v>
      </c>
      <c r="F87" s="30">
        <v>2013326.5920000002</v>
      </c>
    </row>
    <row r="88" spans="1:6" hidden="1" x14ac:dyDescent="0.3">
      <c r="A88" s="2">
        <v>0</v>
      </c>
      <c r="B88" s="2" t="s">
        <v>29</v>
      </c>
      <c r="C88" s="2" t="s">
        <v>32</v>
      </c>
      <c r="D88" s="2" t="s">
        <v>41</v>
      </c>
      <c r="E88" s="29">
        <v>188177.37523200002</v>
      </c>
      <c r="F88" s="30">
        <v>45601.919999999998</v>
      </c>
    </row>
    <row r="89" spans="1:6" hidden="1" x14ac:dyDescent="0.3">
      <c r="A89" s="2">
        <v>0</v>
      </c>
      <c r="B89" s="2" t="s">
        <v>29</v>
      </c>
      <c r="C89" s="2" t="s">
        <v>32</v>
      </c>
      <c r="D89" s="2" t="s">
        <v>42</v>
      </c>
      <c r="E89" s="29">
        <v>59610.101760000005</v>
      </c>
      <c r="F89" s="30">
        <v>503114.32000000007</v>
      </c>
    </row>
    <row r="90" spans="1:6" hidden="1" x14ac:dyDescent="0.3">
      <c r="A90" s="2">
        <v>0</v>
      </c>
      <c r="B90" s="2" t="s">
        <v>29</v>
      </c>
      <c r="C90" s="2" t="s">
        <v>30</v>
      </c>
      <c r="D90" s="2" t="s">
        <v>41</v>
      </c>
      <c r="E90" s="29">
        <v>487386.61171200004</v>
      </c>
      <c r="F90" s="30">
        <v>118110.72</v>
      </c>
    </row>
    <row r="91" spans="1:6" hidden="1" x14ac:dyDescent="0.3">
      <c r="A91" s="2">
        <v>0</v>
      </c>
      <c r="B91" s="2" t="s">
        <v>29</v>
      </c>
      <c r="C91" s="2" t="s">
        <v>19</v>
      </c>
      <c r="D91" s="2" t="s">
        <v>41</v>
      </c>
      <c r="E91" s="29">
        <v>482545.70496000006</v>
      </c>
      <c r="F91" s="30">
        <v>116937.60000000001</v>
      </c>
    </row>
    <row r="92" spans="1:6" hidden="1" x14ac:dyDescent="0.3">
      <c r="A92" s="2">
        <v>0</v>
      </c>
      <c r="B92" s="2" t="s">
        <v>31</v>
      </c>
      <c r="C92" s="2" t="s">
        <v>17</v>
      </c>
      <c r="D92" s="2" t="s">
        <v>42</v>
      </c>
      <c r="E92" s="29">
        <v>259606.49932800001</v>
      </c>
      <c r="F92" s="30">
        <v>2191100.8960000002</v>
      </c>
    </row>
    <row r="93" spans="1:6" hidden="1" x14ac:dyDescent="0.3">
      <c r="A93" s="2">
        <v>0</v>
      </c>
      <c r="B93" s="2" t="s">
        <v>31</v>
      </c>
      <c r="C93" s="2" t="s">
        <v>15</v>
      </c>
      <c r="D93" s="2" t="s">
        <v>42</v>
      </c>
      <c r="E93" s="29">
        <v>274644.20966400002</v>
      </c>
      <c r="F93" s="30">
        <v>2318020.4480000003</v>
      </c>
    </row>
    <row r="94" spans="1:6" hidden="1" x14ac:dyDescent="0.3">
      <c r="A94" s="2">
        <v>0</v>
      </c>
      <c r="B94" s="2" t="s">
        <v>31</v>
      </c>
      <c r="C94" s="2" t="s">
        <v>39</v>
      </c>
      <c r="D94" s="2" t="s">
        <v>42</v>
      </c>
      <c r="E94" s="29">
        <v>269571.55737600004</v>
      </c>
      <c r="F94" s="30">
        <v>2275206.8320000004</v>
      </c>
    </row>
    <row r="95" spans="1:6" hidden="1" x14ac:dyDescent="0.3">
      <c r="A95" s="2">
        <v>0</v>
      </c>
      <c r="B95" s="2" t="s">
        <v>31</v>
      </c>
      <c r="C95" s="2" t="s">
        <v>44</v>
      </c>
      <c r="D95" s="2" t="s">
        <v>42</v>
      </c>
      <c r="E95" s="29">
        <v>359334.32832000003</v>
      </c>
      <c r="F95" s="30">
        <v>3032812.24</v>
      </c>
    </row>
    <row r="96" spans="1:6" hidden="1" x14ac:dyDescent="0.3">
      <c r="A96" s="2">
        <v>0</v>
      </c>
      <c r="B96" s="2" t="s">
        <v>31</v>
      </c>
      <c r="C96" s="2" t="s">
        <v>32</v>
      </c>
      <c r="D96" s="2" t="s">
        <v>42</v>
      </c>
      <c r="E96" s="29">
        <v>341953.41312000004</v>
      </c>
      <c r="F96" s="30">
        <v>2886115.8400000003</v>
      </c>
    </row>
    <row r="97" spans="1:16" hidden="1" x14ac:dyDescent="0.3">
      <c r="A97" s="2">
        <v>0</v>
      </c>
      <c r="B97" s="2" t="s">
        <v>18</v>
      </c>
      <c r="C97" s="2" t="s">
        <v>14</v>
      </c>
      <c r="D97" s="2" t="s">
        <v>42</v>
      </c>
      <c r="E97" s="29">
        <v>334022.56588800001</v>
      </c>
      <c r="F97" s="30">
        <v>2819178.8160000006</v>
      </c>
    </row>
    <row r="98" spans="1:16" hidden="1" x14ac:dyDescent="0.3">
      <c r="A98" s="2">
        <v>0</v>
      </c>
      <c r="B98" s="2" t="s">
        <v>18</v>
      </c>
      <c r="C98" s="2" t="s">
        <v>47</v>
      </c>
      <c r="D98" s="2" t="s">
        <v>42</v>
      </c>
      <c r="E98" s="29">
        <v>286308.73497600004</v>
      </c>
      <c r="F98" s="30">
        <v>2416470.0320000001</v>
      </c>
    </row>
    <row r="99" spans="1:16" x14ac:dyDescent="0.3">
      <c r="A99" s="2">
        <v>21</v>
      </c>
      <c r="B99" s="2" t="s">
        <v>18</v>
      </c>
      <c r="C99" s="2" t="s">
        <v>32</v>
      </c>
      <c r="D99" s="2" t="s">
        <v>41</v>
      </c>
      <c r="E99" s="29">
        <v>319499.84563200001</v>
      </c>
      <c r="F99" s="30">
        <v>77425.919999999998</v>
      </c>
    </row>
    <row r="100" spans="1:16" hidden="1" x14ac:dyDescent="0.3">
      <c r="A100" s="2">
        <v>0</v>
      </c>
      <c r="B100" s="2" t="s">
        <v>18</v>
      </c>
      <c r="C100" s="2" t="s">
        <v>25</v>
      </c>
      <c r="D100" s="2" t="s">
        <v>42</v>
      </c>
      <c r="E100" s="29">
        <v>267537.34656000003</v>
      </c>
      <c r="F100" s="30">
        <v>2258037.9200000004</v>
      </c>
    </row>
    <row r="101" spans="1:16" x14ac:dyDescent="0.3">
      <c r="A101" s="2">
        <v>44</v>
      </c>
      <c r="B101" s="2" t="s">
        <v>18</v>
      </c>
      <c r="C101" s="2" t="s">
        <v>19</v>
      </c>
      <c r="D101" s="2" t="s">
        <v>41</v>
      </c>
      <c r="E101" s="29">
        <v>267897.83961600001</v>
      </c>
      <c r="F101" s="30">
        <v>64920.959999999999</v>
      </c>
    </row>
    <row r="102" spans="1:16" hidden="1" x14ac:dyDescent="0.3">
      <c r="A102" s="2">
        <v>0</v>
      </c>
      <c r="B102" s="2" t="s">
        <v>18</v>
      </c>
      <c r="C102" s="2" t="s">
        <v>19</v>
      </c>
      <c r="D102" s="2" t="s">
        <v>42</v>
      </c>
      <c r="E102" s="29">
        <v>89788.52044800001</v>
      </c>
      <c r="F102" s="30">
        <v>757822.73600000015</v>
      </c>
    </row>
    <row r="104" spans="1:16" x14ac:dyDescent="0.3">
      <c r="G104" s="2" t="s">
        <v>53</v>
      </c>
      <c r="H104" s="2" t="s">
        <v>54</v>
      </c>
      <c r="I104" s="2" t="s">
        <v>55</v>
      </c>
      <c r="J104" s="2" t="s">
        <v>60</v>
      </c>
      <c r="N104" s="2" t="s">
        <v>4</v>
      </c>
      <c r="O104" s="2" t="s">
        <v>5</v>
      </c>
      <c r="P104" s="2" t="s">
        <v>6</v>
      </c>
    </row>
    <row r="105" spans="1:16" x14ac:dyDescent="0.3">
      <c r="G105" s="29">
        <f>SUMPRODUCT($A$3:$A$100,E3:E100)</f>
        <v>13280158921.390593</v>
      </c>
      <c r="H105" s="30">
        <f>SUMPRODUCT($A$3:$A$100,F3:F100)</f>
        <v>205012285.34399998</v>
      </c>
      <c r="I105" s="31">
        <f>G105*(1-J105)+H105*J105</f>
        <v>205012285.34399998</v>
      </c>
      <c r="J105" s="2">
        <v>1</v>
      </c>
      <c r="N105" s="2" t="s">
        <v>59</v>
      </c>
      <c r="O105" s="2">
        <f>SUMIF(Nodes34[Destination],N105,Nodes34[Units])-SUMIF(Nodes34[Origin],N105,Nodes34[Units])</f>
        <v>-506</v>
      </c>
      <c r="P105" s="2">
        <f>-SUM(_xlfn.ANCHORARRAY(P106))</f>
        <v>-506</v>
      </c>
    </row>
    <row r="106" spans="1:16" x14ac:dyDescent="0.3">
      <c r="G106" s="14">
        <f>G105/ABS($P$105)/1000</f>
        <v>26245.373362431998</v>
      </c>
      <c r="H106" s="30">
        <f>H105/ABS($P$105)/1000</f>
        <v>405.16261925691697</v>
      </c>
      <c r="I106" s="2" t="s">
        <v>56</v>
      </c>
      <c r="N106" s="2" t="str" cm="1">
        <f t="array" ref="N106:N123">T3Data!B2:B19</f>
        <v>MUN</v>
      </c>
      <c r="O106" s="2">
        <f>SUMIF(Nodes34[Destination],N106,Nodes34[Units])-SUMIF(Nodes34[Origin],N106,Nodes34[Units])</f>
        <v>82</v>
      </c>
      <c r="P106" s="2" cm="1">
        <f t="array" ref="P106:P123">T3Data!F2:F19</f>
        <v>82</v>
      </c>
    </row>
    <row r="107" spans="1:16" x14ac:dyDescent="0.3">
      <c r="N107" s="2" t="str">
        <v>CHE</v>
      </c>
      <c r="O107" s="2">
        <f>SUMIF(Nodes34[Destination],N107,Nodes34[Units])-SUMIF(Nodes34[Origin],N107,Nodes34[Units])</f>
        <v>9</v>
      </c>
      <c r="P107" s="2">
        <v>9</v>
      </c>
    </row>
    <row r="108" spans="1:16" x14ac:dyDescent="0.3">
      <c r="N108" s="2" t="str">
        <v>BKK</v>
      </c>
      <c r="O108" s="2">
        <f>SUMIF(Nodes34[Destination],N108,Nodes34[Units])-SUMIF(Nodes34[Origin],N108,Nodes34[Units])</f>
        <v>9</v>
      </c>
      <c r="P108" s="2">
        <v>9</v>
      </c>
    </row>
    <row r="109" spans="1:16" x14ac:dyDescent="0.3">
      <c r="N109" s="2" t="str">
        <v>DAL</v>
      </c>
      <c r="O109" s="2">
        <f>SUMIF(Nodes34[Destination],N109,Nodes34[Units])-SUMIF(Nodes34[Origin],N109,Nodes34[Units])</f>
        <v>86</v>
      </c>
      <c r="P109" s="2">
        <v>86</v>
      </c>
    </row>
    <row r="110" spans="1:16" x14ac:dyDescent="0.3">
      <c r="N110" s="2" t="str">
        <v>TAM</v>
      </c>
      <c r="O110" s="2">
        <f>SUMIF(Nodes34[Destination],N110,Nodes34[Units])-SUMIF(Nodes34[Origin],N110,Nodes34[Units])</f>
        <v>5</v>
      </c>
      <c r="P110" s="2">
        <v>5</v>
      </c>
    </row>
    <row r="111" spans="1:16" x14ac:dyDescent="0.3">
      <c r="N111" s="2" t="str">
        <v>SAV</v>
      </c>
      <c r="O111" s="2">
        <f>SUMIF(Nodes34[Destination],N111,Nodes34[Units])-SUMIF(Nodes34[Origin],N111,Nodes34[Units])</f>
        <v>20</v>
      </c>
      <c r="P111" s="2">
        <v>20</v>
      </c>
    </row>
    <row r="112" spans="1:16" x14ac:dyDescent="0.3">
      <c r="N112" s="2" t="str">
        <v>ARA</v>
      </c>
      <c r="O112" s="2">
        <f>SUMIF(Nodes34[Destination],N112,Nodes34[Units])-SUMIF(Nodes34[Origin],N112,Nodes34[Units])</f>
        <v>4</v>
      </c>
      <c r="P112" s="2">
        <v>4</v>
      </c>
    </row>
    <row r="113" spans="14:16" x14ac:dyDescent="0.3">
      <c r="N113" s="2" t="str">
        <v>DUR</v>
      </c>
      <c r="O113" s="2">
        <f>SUMIF(Nodes34[Destination],N113,Nodes34[Units])-SUMIF(Nodes34[Origin],N113,Nodes34[Units])</f>
        <v>1</v>
      </c>
      <c r="P113" s="2">
        <v>1</v>
      </c>
    </row>
    <row r="114" spans="14:16" x14ac:dyDescent="0.3">
      <c r="N114" s="2" t="str">
        <v>GOA</v>
      </c>
      <c r="O114" s="2">
        <f>SUMIF(Nodes34[Destination],N114,Nodes34[Units])-SUMIF(Nodes34[Origin],N114,Nodes34[Units])</f>
        <v>48</v>
      </c>
      <c r="P114" s="2">
        <v>48</v>
      </c>
    </row>
    <row r="115" spans="14:16" x14ac:dyDescent="0.3">
      <c r="N115" s="2" t="str">
        <v>LON</v>
      </c>
      <c r="O115" s="2">
        <f>SUMIF(Nodes34[Destination],N115,Nodes34[Units])-SUMIF(Nodes34[Origin],N115,Nodes34[Units])</f>
        <v>51</v>
      </c>
      <c r="P115" s="2">
        <v>51</v>
      </c>
    </row>
    <row r="116" spans="14:16" x14ac:dyDescent="0.3">
      <c r="N116" s="2" t="str">
        <v>MOS</v>
      </c>
      <c r="O116" s="2">
        <f>SUMIF(Nodes34[Destination],N116,Nodes34[Units])-SUMIF(Nodes34[Origin],N116,Nodes34[Units])</f>
        <v>9</v>
      </c>
      <c r="P116" s="2">
        <v>9</v>
      </c>
    </row>
    <row r="117" spans="14:16" x14ac:dyDescent="0.3">
      <c r="N117" s="2" t="str">
        <v>HKG</v>
      </c>
      <c r="O117" s="2">
        <f>SUMIF(Nodes34[Destination],N117,Nodes34[Units])-SUMIF(Nodes34[Origin],N117,Nodes34[Units])</f>
        <v>85</v>
      </c>
      <c r="P117" s="2">
        <v>85</v>
      </c>
    </row>
    <row r="118" spans="14:16" x14ac:dyDescent="0.3">
      <c r="N118" s="2" t="str">
        <v>BUS</v>
      </c>
      <c r="O118" s="2">
        <f>SUMIF(Nodes34[Destination],N118,Nodes34[Units])-SUMIF(Nodes34[Origin],N118,Nodes34[Units])</f>
        <v>26</v>
      </c>
      <c r="P118" s="2">
        <v>26</v>
      </c>
    </row>
    <row r="119" spans="14:16" x14ac:dyDescent="0.3">
      <c r="N119" s="2" t="str">
        <v>LAX</v>
      </c>
      <c r="O119" s="2">
        <f>SUMIF(Nodes34[Destination],N119,Nodes34[Units])-SUMIF(Nodes34[Origin],N119,Nodes34[Units])</f>
        <v>21</v>
      </c>
      <c r="P119" s="2">
        <v>21</v>
      </c>
    </row>
    <row r="120" spans="14:16" x14ac:dyDescent="0.3">
      <c r="N120" s="2" t="str">
        <v>SEA</v>
      </c>
      <c r="O120" s="2">
        <f>SUMIF(Nodes34[Destination],N120,Nodes34[Units])-SUMIF(Nodes34[Origin],N120,Nodes34[Units])</f>
        <v>20</v>
      </c>
      <c r="P120" s="2">
        <v>20</v>
      </c>
    </row>
    <row r="121" spans="14:16" x14ac:dyDescent="0.3">
      <c r="N121" s="2" t="str">
        <v>MON</v>
      </c>
      <c r="O121" s="2">
        <f>SUMIF(Nodes34[Destination],N121,Nodes34[Units])-SUMIF(Nodes34[Origin],N121,Nodes34[Units])</f>
        <v>21</v>
      </c>
      <c r="P121" s="2">
        <v>21</v>
      </c>
    </row>
    <row r="122" spans="14:16" x14ac:dyDescent="0.3">
      <c r="N122" s="2" t="str">
        <v>SYD</v>
      </c>
      <c r="O122" s="2">
        <f>SUMIF(Nodes34[Destination],N122,Nodes34[Units])-SUMIF(Nodes34[Origin],N122,Nodes34[Units])</f>
        <v>4</v>
      </c>
      <c r="P122" s="2">
        <v>4</v>
      </c>
    </row>
    <row r="123" spans="14:16" x14ac:dyDescent="0.3">
      <c r="N123" s="2" t="str">
        <v>DBI</v>
      </c>
      <c r="O123" s="2">
        <f>SUMIF(Nodes34[Destination],N123,Nodes34[Units])-SUMIF(Nodes34[Origin],N123,Nodes34[Units])</f>
        <v>5</v>
      </c>
      <c r="P123" s="2">
        <v>5</v>
      </c>
    </row>
  </sheetData>
  <conditionalFormatting sqref="A3:A102">
    <cfRule type="cellIs" dxfId="1" priority="1" operator="greaterThan">
      <formula>0</formula>
    </cfRule>
  </conditionalFormatting>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56ACD9-CE19-4378-B2A3-DBF9DE0C6F32}">
  <sheetPr codeName="Sheet13">
    <tabColor rgb="FF92D050"/>
  </sheetPr>
  <dimension ref="A2:O124"/>
  <sheetViews>
    <sheetView topLeftCell="D1" zoomScale="85" zoomScaleNormal="85" workbookViewId="0">
      <selection activeCell="K2" sqref="K2"/>
    </sheetView>
  </sheetViews>
  <sheetFormatPr defaultRowHeight="14.5" x14ac:dyDescent="0.35"/>
  <cols>
    <col min="1" max="1" width="12.453125" bestFit="1" customWidth="1"/>
    <col min="2" max="2" width="10.08984375" bestFit="1" customWidth="1"/>
    <col min="3" max="3" width="12.1796875" customWidth="1"/>
    <col min="4" max="4" width="10.08984375" bestFit="1" customWidth="1"/>
    <col min="5" max="5" width="16.1796875" customWidth="1"/>
    <col min="6" max="6" width="13.36328125" customWidth="1"/>
    <col min="7" max="7" width="23.1796875" customWidth="1"/>
    <col min="8" max="8" width="22.08984375" customWidth="1"/>
    <col min="9" max="9" width="19.54296875" bestFit="1" customWidth="1"/>
    <col min="10" max="10" width="14" bestFit="1" customWidth="1"/>
    <col min="11" max="12" width="8.90625" bestFit="1" customWidth="1"/>
    <col min="13" max="13" width="10" customWidth="1"/>
  </cols>
  <sheetData>
    <row r="2" spans="1:12" x14ac:dyDescent="0.35">
      <c r="A2" t="s">
        <v>0</v>
      </c>
      <c r="B2" t="s">
        <v>1</v>
      </c>
      <c r="C2" t="s">
        <v>2</v>
      </c>
      <c r="D2" t="s">
        <v>46</v>
      </c>
      <c r="E2" t="s">
        <v>3</v>
      </c>
      <c r="F2" t="s">
        <v>40</v>
      </c>
      <c r="G2" t="s">
        <v>61</v>
      </c>
      <c r="H2" t="s">
        <v>63</v>
      </c>
      <c r="I2" t="s">
        <v>51</v>
      </c>
      <c r="J2" t="s">
        <v>64</v>
      </c>
      <c r="K2" t="s">
        <v>62</v>
      </c>
      <c r="L2" t="s">
        <v>52</v>
      </c>
    </row>
    <row r="3" spans="1:12" x14ac:dyDescent="0.35">
      <c r="A3">
        <v>189</v>
      </c>
      <c r="B3" t="s">
        <v>59</v>
      </c>
      <c r="C3" t="str">
        <f>T3Data!B2</f>
        <v>MUN</v>
      </c>
      <c r="D3" t="s">
        <v>59</v>
      </c>
      <c r="E3" s="6">
        <f>T3Data!J2</f>
        <v>27554200</v>
      </c>
      <c r="F3" s="8">
        <f>T3Data!L2</f>
        <v>330000</v>
      </c>
      <c r="G3">
        <v>1</v>
      </c>
      <c r="H3">
        <v>999</v>
      </c>
      <c r="I3" cm="1">
        <f t="array" ref="I3:I10">T3Data!M2:M9</f>
        <v>1</v>
      </c>
      <c r="J3">
        <f t="shared" ref="J3:J10" si="0">G3*H3</f>
        <v>999</v>
      </c>
      <c r="K3">
        <f t="shared" ref="K3:K10" si="1">G3*I3</f>
        <v>1</v>
      </c>
      <c r="L3">
        <v>506</v>
      </c>
    </row>
    <row r="4" spans="1:12" x14ac:dyDescent="0.35">
      <c r="A4">
        <v>15</v>
      </c>
      <c r="B4" t="s">
        <v>59</v>
      </c>
      <c r="C4" t="str">
        <f>T3Data!B3</f>
        <v>CHE</v>
      </c>
      <c r="D4" t="s">
        <v>59</v>
      </c>
      <c r="E4" s="6">
        <f>T3Data!J3</f>
        <v>25048600</v>
      </c>
      <c r="F4" s="8">
        <f>T3Data!L3</f>
        <v>330000</v>
      </c>
      <c r="G4">
        <v>1</v>
      </c>
      <c r="H4">
        <v>999</v>
      </c>
      <c r="I4">
        <v>5</v>
      </c>
      <c r="J4">
        <f t="shared" si="0"/>
        <v>999</v>
      </c>
      <c r="K4">
        <f t="shared" si="1"/>
        <v>5</v>
      </c>
      <c r="L4">
        <v>506</v>
      </c>
    </row>
    <row r="5" spans="1:12" x14ac:dyDescent="0.35">
      <c r="A5">
        <v>13</v>
      </c>
      <c r="B5" t="s">
        <v>59</v>
      </c>
      <c r="C5" t="str">
        <f>T3Data!B4</f>
        <v>BKK</v>
      </c>
      <c r="D5" t="s">
        <v>59</v>
      </c>
      <c r="E5" s="6">
        <f>T3Data!J4</f>
        <v>25232200</v>
      </c>
      <c r="F5" s="8">
        <f>T3Data!L4</f>
        <v>330000</v>
      </c>
      <c r="G5">
        <v>1</v>
      </c>
      <c r="H5">
        <v>999</v>
      </c>
      <c r="I5">
        <v>5</v>
      </c>
      <c r="J5">
        <f t="shared" si="0"/>
        <v>999</v>
      </c>
      <c r="K5">
        <f t="shared" si="1"/>
        <v>5</v>
      </c>
      <c r="L5">
        <v>506</v>
      </c>
    </row>
    <row r="6" spans="1:12" x14ac:dyDescent="0.35">
      <c r="A6">
        <v>197</v>
      </c>
      <c r="B6" t="s">
        <v>59</v>
      </c>
      <c r="C6" t="str">
        <f>T3Data!B5</f>
        <v>DAL</v>
      </c>
      <c r="D6" t="s">
        <v>59</v>
      </c>
      <c r="E6" s="6">
        <f>T3Data!J5</f>
        <v>25228600</v>
      </c>
      <c r="F6" s="8">
        <f>T3Data!L5</f>
        <v>330000</v>
      </c>
      <c r="G6">
        <v>1</v>
      </c>
      <c r="H6">
        <v>999</v>
      </c>
      <c r="I6">
        <v>5</v>
      </c>
      <c r="J6">
        <f t="shared" si="0"/>
        <v>999</v>
      </c>
      <c r="K6">
        <f t="shared" si="1"/>
        <v>5</v>
      </c>
      <c r="L6">
        <v>506</v>
      </c>
    </row>
    <row r="7" spans="1:12" x14ac:dyDescent="0.35">
      <c r="A7">
        <v>87</v>
      </c>
      <c r="B7" t="s">
        <v>59</v>
      </c>
      <c r="C7" t="str">
        <f>T3Data!B6</f>
        <v>TAM</v>
      </c>
      <c r="D7" t="s">
        <v>59</v>
      </c>
      <c r="E7" s="6">
        <f>T3Data!J6</f>
        <v>25223200</v>
      </c>
      <c r="F7" s="8">
        <f>T3Data!L6</f>
        <v>330000</v>
      </c>
      <c r="G7">
        <v>1</v>
      </c>
      <c r="H7">
        <v>999</v>
      </c>
      <c r="I7">
        <v>5</v>
      </c>
      <c r="J7">
        <f t="shared" si="0"/>
        <v>999</v>
      </c>
      <c r="K7">
        <f t="shared" si="1"/>
        <v>5</v>
      </c>
      <c r="L7">
        <v>506</v>
      </c>
    </row>
    <row r="8" spans="1:12" x14ac:dyDescent="0.35">
      <c r="A8">
        <v>0</v>
      </c>
      <c r="B8" t="s">
        <v>59</v>
      </c>
      <c r="C8" t="str">
        <f>T3Data!B7</f>
        <v>SAV</v>
      </c>
      <c r="D8" t="s">
        <v>59</v>
      </c>
      <c r="E8" s="6">
        <f>T3Data!J7</f>
        <v>26305000</v>
      </c>
      <c r="F8" s="8">
        <f>T3Data!L7</f>
        <v>330000</v>
      </c>
      <c r="G8">
        <v>0</v>
      </c>
      <c r="H8">
        <v>999</v>
      </c>
      <c r="I8">
        <v>5</v>
      </c>
      <c r="J8">
        <f t="shared" si="0"/>
        <v>0</v>
      </c>
      <c r="K8">
        <f t="shared" si="1"/>
        <v>0</v>
      </c>
      <c r="L8">
        <v>506</v>
      </c>
    </row>
    <row r="9" spans="1:12" x14ac:dyDescent="0.35">
      <c r="A9">
        <v>5</v>
      </c>
      <c r="B9" t="s">
        <v>59</v>
      </c>
      <c r="C9" t="str">
        <f>T3Data!B8</f>
        <v>ARA</v>
      </c>
      <c r="D9" t="s">
        <v>59</v>
      </c>
      <c r="E9" s="6">
        <f>T3Data!J8</f>
        <v>25230400</v>
      </c>
      <c r="F9" s="8">
        <f>T3Data!L8</f>
        <v>330000</v>
      </c>
      <c r="G9">
        <v>1</v>
      </c>
      <c r="H9">
        <v>999</v>
      </c>
      <c r="I9">
        <v>5</v>
      </c>
      <c r="J9">
        <f t="shared" si="0"/>
        <v>999</v>
      </c>
      <c r="K9">
        <f t="shared" si="1"/>
        <v>5</v>
      </c>
      <c r="L9">
        <v>506</v>
      </c>
    </row>
    <row r="10" spans="1:12" x14ac:dyDescent="0.35">
      <c r="A10">
        <v>0</v>
      </c>
      <c r="B10" t="s">
        <v>59</v>
      </c>
      <c r="C10" t="str">
        <f>T3Data!B9</f>
        <v>DUR</v>
      </c>
      <c r="D10" t="s">
        <v>59</v>
      </c>
      <c r="E10" s="6">
        <f>T3Data!J9</f>
        <v>25282600</v>
      </c>
      <c r="F10" s="8">
        <f>T3Data!L9</f>
        <v>330000</v>
      </c>
      <c r="G10">
        <v>0</v>
      </c>
      <c r="H10">
        <v>999</v>
      </c>
      <c r="I10">
        <v>5</v>
      </c>
      <c r="J10">
        <f t="shared" si="0"/>
        <v>0</v>
      </c>
      <c r="K10">
        <f t="shared" si="1"/>
        <v>0</v>
      </c>
      <c r="L10">
        <v>506</v>
      </c>
    </row>
    <row r="11" spans="1:12" x14ac:dyDescent="0.35">
      <c r="A11">
        <v>1</v>
      </c>
      <c r="B11" t="s">
        <v>14</v>
      </c>
      <c r="C11" t="s">
        <v>47</v>
      </c>
      <c r="D11" t="s">
        <v>42</v>
      </c>
      <c r="E11" s="6">
        <v>255229.08364800003</v>
      </c>
      <c r="F11" s="8">
        <v>2154155.1360000004</v>
      </c>
    </row>
    <row r="12" spans="1:12" x14ac:dyDescent="0.35">
      <c r="A12">
        <v>0</v>
      </c>
      <c r="B12" t="s">
        <v>14</v>
      </c>
      <c r="C12" t="s">
        <v>25</v>
      </c>
      <c r="D12" t="s">
        <v>42</v>
      </c>
      <c r="E12" s="6">
        <v>285973.99142400001</v>
      </c>
      <c r="F12" s="8">
        <v>2413644.7680000002</v>
      </c>
    </row>
    <row r="13" spans="1:12" x14ac:dyDescent="0.35">
      <c r="A13">
        <v>0</v>
      </c>
      <c r="B13" t="s">
        <v>14</v>
      </c>
      <c r="C13" t="s">
        <v>19</v>
      </c>
      <c r="D13" t="s">
        <v>42</v>
      </c>
      <c r="E13" s="6">
        <v>263005.43385600002</v>
      </c>
      <c r="F13" s="8">
        <v>2219788.1920000003</v>
      </c>
    </row>
    <row r="14" spans="1:12" x14ac:dyDescent="0.35">
      <c r="A14">
        <v>0</v>
      </c>
      <c r="B14" t="s">
        <v>14</v>
      </c>
      <c r="C14" t="s">
        <v>18</v>
      </c>
      <c r="D14" t="s">
        <v>42</v>
      </c>
      <c r="E14" s="6">
        <v>334022.56588800001</v>
      </c>
      <c r="F14" s="8">
        <v>2819178.8160000006</v>
      </c>
    </row>
    <row r="15" spans="1:12" x14ac:dyDescent="0.35">
      <c r="A15">
        <v>0</v>
      </c>
      <c r="B15" t="s">
        <v>17</v>
      </c>
      <c r="C15" t="s">
        <v>15</v>
      </c>
      <c r="D15" t="s">
        <v>42</v>
      </c>
      <c r="E15" s="6">
        <v>133176.43468800001</v>
      </c>
      <c r="F15" s="8">
        <v>1124020.4160000002</v>
      </c>
    </row>
    <row r="16" spans="1:12" x14ac:dyDescent="0.35">
      <c r="A16">
        <v>0</v>
      </c>
      <c r="B16" t="s">
        <v>17</v>
      </c>
      <c r="C16" t="s">
        <v>27</v>
      </c>
      <c r="D16" t="s">
        <v>42</v>
      </c>
      <c r="E16" s="6">
        <v>70579.390464000011</v>
      </c>
      <c r="F16" s="8">
        <v>595696.04800000007</v>
      </c>
    </row>
    <row r="17" spans="1:6" x14ac:dyDescent="0.35">
      <c r="A17">
        <v>0</v>
      </c>
      <c r="B17" t="s">
        <v>17</v>
      </c>
      <c r="C17" t="s">
        <v>32</v>
      </c>
      <c r="D17" t="s">
        <v>42</v>
      </c>
      <c r="E17" s="6">
        <v>383950.85414400004</v>
      </c>
      <c r="F17" s="8">
        <v>3240577.8080000007</v>
      </c>
    </row>
    <row r="18" spans="1:6" x14ac:dyDescent="0.35">
      <c r="A18">
        <v>4</v>
      </c>
      <c r="B18" t="s">
        <v>17</v>
      </c>
      <c r="C18" t="s">
        <v>31</v>
      </c>
      <c r="D18" t="s">
        <v>42</v>
      </c>
      <c r="E18" s="6">
        <v>259606.49932800001</v>
      </c>
      <c r="F18" s="8">
        <v>2191100.8960000002</v>
      </c>
    </row>
    <row r="19" spans="1:6" x14ac:dyDescent="0.35">
      <c r="A19">
        <v>0</v>
      </c>
      <c r="B19" t="s">
        <v>28</v>
      </c>
      <c r="C19" t="s">
        <v>39</v>
      </c>
      <c r="D19" t="s">
        <v>42</v>
      </c>
      <c r="E19" s="6">
        <v>27011.229696000002</v>
      </c>
      <c r="F19" s="8">
        <v>227977.07200000004</v>
      </c>
    </row>
    <row r="20" spans="1:6" x14ac:dyDescent="0.35">
      <c r="A20">
        <v>0</v>
      </c>
      <c r="B20" t="s">
        <v>28</v>
      </c>
      <c r="C20" t="s">
        <v>27</v>
      </c>
      <c r="D20" t="s">
        <v>42</v>
      </c>
      <c r="E20" s="6">
        <v>57138.149376000001</v>
      </c>
      <c r="F20" s="8">
        <v>482250.83200000005</v>
      </c>
    </row>
    <row r="21" spans="1:6" x14ac:dyDescent="0.35">
      <c r="A21">
        <v>0</v>
      </c>
      <c r="B21" t="s">
        <v>28</v>
      </c>
      <c r="C21" t="s">
        <v>32</v>
      </c>
      <c r="D21" t="s">
        <v>42</v>
      </c>
      <c r="E21" s="6">
        <v>263597.672448</v>
      </c>
      <c r="F21" s="8">
        <v>2224786.7360000005</v>
      </c>
    </row>
    <row r="22" spans="1:6" x14ac:dyDescent="0.35">
      <c r="A22">
        <v>0</v>
      </c>
      <c r="B22" t="s">
        <v>28</v>
      </c>
      <c r="C22" t="s">
        <v>29</v>
      </c>
      <c r="D22" t="s">
        <v>42</v>
      </c>
      <c r="E22" s="6">
        <v>238543.40505600002</v>
      </c>
      <c r="F22" s="8">
        <v>2013326.5920000002</v>
      </c>
    </row>
    <row r="23" spans="1:6" x14ac:dyDescent="0.35">
      <c r="A23">
        <v>0</v>
      </c>
      <c r="B23" t="s">
        <v>15</v>
      </c>
      <c r="C23" t="s">
        <v>17</v>
      </c>
      <c r="D23" t="s">
        <v>42</v>
      </c>
      <c r="E23" s="6">
        <v>133176.43468800001</v>
      </c>
      <c r="F23" s="8">
        <v>1124020.4160000002</v>
      </c>
    </row>
    <row r="24" spans="1:6" x14ac:dyDescent="0.35">
      <c r="A24">
        <v>5</v>
      </c>
      <c r="B24" t="s">
        <v>15</v>
      </c>
      <c r="C24" t="s">
        <v>45</v>
      </c>
      <c r="D24" t="s">
        <v>42</v>
      </c>
      <c r="E24" s="6">
        <v>106783.193088</v>
      </c>
      <c r="F24" s="8">
        <v>901259.21600000013</v>
      </c>
    </row>
    <row r="25" spans="1:6" x14ac:dyDescent="0.35">
      <c r="A25">
        <v>1</v>
      </c>
      <c r="B25" t="s">
        <v>15</v>
      </c>
      <c r="C25" t="s">
        <v>44</v>
      </c>
      <c r="D25" t="s">
        <v>42</v>
      </c>
      <c r="E25" s="6">
        <v>222243.96902400002</v>
      </c>
      <c r="F25" s="8">
        <v>1875757.9680000003</v>
      </c>
    </row>
    <row r="26" spans="1:6" x14ac:dyDescent="0.35">
      <c r="A26">
        <v>0</v>
      </c>
      <c r="B26" t="s">
        <v>15</v>
      </c>
      <c r="C26" t="s">
        <v>47</v>
      </c>
      <c r="D26" t="s">
        <v>42</v>
      </c>
      <c r="E26" s="6">
        <v>271013.52960000001</v>
      </c>
      <c r="F26" s="8">
        <v>2287377.2000000002</v>
      </c>
    </row>
    <row r="27" spans="1:6" x14ac:dyDescent="0.35">
      <c r="A27">
        <v>0</v>
      </c>
      <c r="B27" t="s">
        <v>15</v>
      </c>
      <c r="C27" t="s">
        <v>31</v>
      </c>
      <c r="D27" t="s">
        <v>42</v>
      </c>
      <c r="E27" s="6">
        <v>274644.20966400002</v>
      </c>
      <c r="F27" s="8">
        <v>2318020.4480000003</v>
      </c>
    </row>
    <row r="28" spans="1:6" x14ac:dyDescent="0.35">
      <c r="A28">
        <v>26</v>
      </c>
      <c r="B28" t="s">
        <v>39</v>
      </c>
      <c r="C28" t="s">
        <v>28</v>
      </c>
      <c r="D28" t="s">
        <v>42</v>
      </c>
      <c r="E28" s="6">
        <v>27011.229696000002</v>
      </c>
      <c r="F28" s="8">
        <v>227977.07200000004</v>
      </c>
    </row>
    <row r="29" spans="1:6" x14ac:dyDescent="0.35">
      <c r="A29">
        <v>85</v>
      </c>
      <c r="B29" t="s">
        <v>39</v>
      </c>
      <c r="C29" t="s">
        <v>27</v>
      </c>
      <c r="D29" t="s">
        <v>41</v>
      </c>
      <c r="E29" s="6">
        <v>305698.11148800002</v>
      </c>
      <c r="F29" s="8">
        <v>74081.279999999999</v>
      </c>
    </row>
    <row r="30" spans="1:6" x14ac:dyDescent="0.35">
      <c r="A30">
        <v>0</v>
      </c>
      <c r="B30" t="s">
        <v>39</v>
      </c>
      <c r="C30" t="s">
        <v>27</v>
      </c>
      <c r="D30" t="s">
        <v>42</v>
      </c>
      <c r="E30" s="6">
        <v>80518.699008000011</v>
      </c>
      <c r="F30" s="8">
        <v>679584.65600000008</v>
      </c>
    </row>
    <row r="31" spans="1:6" x14ac:dyDescent="0.35">
      <c r="A31">
        <v>0</v>
      </c>
      <c r="B31" t="s">
        <v>39</v>
      </c>
      <c r="C31" t="s">
        <v>26</v>
      </c>
      <c r="D31" t="s">
        <v>41</v>
      </c>
      <c r="E31" s="6">
        <v>844068.74112000002</v>
      </c>
      <c r="F31" s="8">
        <v>204547.20000000001</v>
      </c>
    </row>
    <row r="32" spans="1:6" x14ac:dyDescent="0.35">
      <c r="A32">
        <v>0</v>
      </c>
      <c r="B32" t="s">
        <v>39</v>
      </c>
      <c r="C32" t="s">
        <v>31</v>
      </c>
      <c r="D32" t="s">
        <v>42</v>
      </c>
      <c r="E32" s="6">
        <v>269571.55737600004</v>
      </c>
      <c r="F32" s="8">
        <v>2275206.8320000004</v>
      </c>
    </row>
    <row r="33" spans="1:6" x14ac:dyDescent="0.35">
      <c r="A33">
        <v>0</v>
      </c>
      <c r="B33" t="s">
        <v>45</v>
      </c>
      <c r="C33" t="s">
        <v>15</v>
      </c>
      <c r="D33" t="s">
        <v>42</v>
      </c>
      <c r="E33" s="6">
        <v>106783.193088</v>
      </c>
      <c r="F33" s="8">
        <v>901259.21600000013</v>
      </c>
    </row>
    <row r="34" spans="1:6" x14ac:dyDescent="0.35">
      <c r="A34">
        <v>0</v>
      </c>
      <c r="B34" t="s">
        <v>45</v>
      </c>
      <c r="C34" t="s">
        <v>44</v>
      </c>
      <c r="D34" t="s">
        <v>42</v>
      </c>
      <c r="E34" s="6">
        <v>194254.258176</v>
      </c>
      <c r="F34" s="8">
        <v>1639522.4320000003</v>
      </c>
    </row>
    <row r="35" spans="1:6" x14ac:dyDescent="0.35">
      <c r="A35">
        <v>0</v>
      </c>
      <c r="B35" t="s">
        <v>45</v>
      </c>
      <c r="C35" t="s">
        <v>47</v>
      </c>
      <c r="D35" t="s">
        <v>42</v>
      </c>
      <c r="E35" s="6">
        <v>211892.668416</v>
      </c>
      <c r="F35" s="8">
        <v>1788392.1120000002</v>
      </c>
    </row>
    <row r="36" spans="1:6" x14ac:dyDescent="0.35">
      <c r="A36">
        <v>0</v>
      </c>
      <c r="B36" t="s">
        <v>44</v>
      </c>
      <c r="C36" t="s">
        <v>15</v>
      </c>
      <c r="D36" t="s">
        <v>42</v>
      </c>
      <c r="E36" s="6">
        <v>222243.96902400002</v>
      </c>
      <c r="F36" s="8">
        <v>1875757.9680000003</v>
      </c>
    </row>
    <row r="37" spans="1:6" x14ac:dyDescent="0.35">
      <c r="A37">
        <v>0</v>
      </c>
      <c r="B37" t="s">
        <v>44</v>
      </c>
      <c r="C37" t="s">
        <v>45</v>
      </c>
      <c r="D37" t="s">
        <v>42</v>
      </c>
      <c r="E37" s="6">
        <v>194254.258176</v>
      </c>
      <c r="F37" s="8">
        <v>1639522.4320000003</v>
      </c>
    </row>
    <row r="38" spans="1:6" x14ac:dyDescent="0.35">
      <c r="A38">
        <v>0</v>
      </c>
      <c r="B38" t="s">
        <v>44</v>
      </c>
      <c r="C38" t="s">
        <v>47</v>
      </c>
      <c r="D38" t="s">
        <v>42</v>
      </c>
      <c r="E38" s="6">
        <v>349549.51680000004</v>
      </c>
      <c r="F38" s="8">
        <v>2950227.6000000006</v>
      </c>
    </row>
    <row r="39" spans="1:6" x14ac:dyDescent="0.35">
      <c r="A39">
        <v>0</v>
      </c>
      <c r="B39" t="s">
        <v>44</v>
      </c>
      <c r="C39" t="s">
        <v>31</v>
      </c>
      <c r="D39" t="s">
        <v>42</v>
      </c>
      <c r="E39" s="6">
        <v>359334.32832000003</v>
      </c>
      <c r="F39" s="8">
        <v>3032812.24</v>
      </c>
    </row>
    <row r="40" spans="1:6" x14ac:dyDescent="0.35">
      <c r="A40">
        <v>0</v>
      </c>
      <c r="B40" t="s">
        <v>47</v>
      </c>
      <c r="C40" t="s">
        <v>14</v>
      </c>
      <c r="D40" t="s">
        <v>42</v>
      </c>
      <c r="E40" s="6">
        <v>255229.08364800003</v>
      </c>
      <c r="F40" s="8">
        <v>2154155.1360000004</v>
      </c>
    </row>
    <row r="41" spans="1:6" x14ac:dyDescent="0.35">
      <c r="A41">
        <v>0</v>
      </c>
      <c r="B41" t="s">
        <v>47</v>
      </c>
      <c r="C41" t="s">
        <v>15</v>
      </c>
      <c r="D41" t="s">
        <v>42</v>
      </c>
      <c r="E41" s="6">
        <v>271013.52960000001</v>
      </c>
      <c r="F41" s="8">
        <v>2287377.2000000002</v>
      </c>
    </row>
    <row r="42" spans="1:6" x14ac:dyDescent="0.35">
      <c r="A42">
        <v>0</v>
      </c>
      <c r="B42" t="s">
        <v>47</v>
      </c>
      <c r="C42" t="s">
        <v>45</v>
      </c>
      <c r="D42" t="s">
        <v>42</v>
      </c>
      <c r="E42" s="6">
        <v>211892.668416</v>
      </c>
      <c r="F42" s="8">
        <v>1788392.1120000002</v>
      </c>
    </row>
    <row r="43" spans="1:6" x14ac:dyDescent="0.35">
      <c r="A43">
        <v>0</v>
      </c>
      <c r="B43" t="s">
        <v>47</v>
      </c>
      <c r="C43" t="s">
        <v>44</v>
      </c>
      <c r="D43" t="s">
        <v>42</v>
      </c>
      <c r="E43" s="6">
        <v>349549.51680000004</v>
      </c>
      <c r="F43" s="8">
        <v>2950227.6000000006</v>
      </c>
    </row>
    <row r="44" spans="1:6" x14ac:dyDescent="0.35">
      <c r="A44">
        <v>0</v>
      </c>
      <c r="B44" t="s">
        <v>47</v>
      </c>
      <c r="C44" t="s">
        <v>25</v>
      </c>
      <c r="D44" t="s">
        <v>41</v>
      </c>
      <c r="E44" s="6">
        <v>106396.950528</v>
      </c>
      <c r="F44" s="8">
        <v>25783.68</v>
      </c>
    </row>
    <row r="45" spans="1:6" x14ac:dyDescent="0.35">
      <c r="A45">
        <v>0</v>
      </c>
      <c r="B45" t="s">
        <v>47</v>
      </c>
      <c r="C45" t="s">
        <v>25</v>
      </c>
      <c r="D45" t="s">
        <v>42</v>
      </c>
      <c r="E45" s="6">
        <v>108637.157376</v>
      </c>
      <c r="F45" s="8">
        <v>916906.83200000017</v>
      </c>
    </row>
    <row r="46" spans="1:6" x14ac:dyDescent="0.35">
      <c r="A46">
        <v>0</v>
      </c>
      <c r="B46" t="s">
        <v>47</v>
      </c>
      <c r="C46" t="s">
        <v>16</v>
      </c>
      <c r="D46" t="s">
        <v>41</v>
      </c>
      <c r="E46" s="6">
        <v>47482.085376000003</v>
      </c>
      <c r="F46" s="8">
        <v>11506.56</v>
      </c>
    </row>
    <row r="47" spans="1:6" x14ac:dyDescent="0.35">
      <c r="A47">
        <v>0</v>
      </c>
      <c r="B47" t="s">
        <v>47</v>
      </c>
      <c r="C47" t="s">
        <v>18</v>
      </c>
      <c r="D47" t="s">
        <v>42</v>
      </c>
      <c r="E47" s="6">
        <v>286308.73497600004</v>
      </c>
      <c r="F47" s="8">
        <v>2416470.0320000001</v>
      </c>
    </row>
    <row r="48" spans="1:6" x14ac:dyDescent="0.35">
      <c r="A48">
        <v>0</v>
      </c>
      <c r="B48" t="s">
        <v>27</v>
      </c>
      <c r="C48" t="s">
        <v>17</v>
      </c>
      <c r="D48" t="s">
        <v>42</v>
      </c>
      <c r="E48" s="6">
        <v>70579.390464000011</v>
      </c>
      <c r="F48" s="8">
        <v>595696.04800000007</v>
      </c>
    </row>
    <row r="49" spans="1:6" x14ac:dyDescent="0.35">
      <c r="A49">
        <v>0</v>
      </c>
      <c r="B49" t="s">
        <v>27</v>
      </c>
      <c r="C49" t="s">
        <v>28</v>
      </c>
      <c r="D49" t="s">
        <v>42</v>
      </c>
      <c r="E49" s="6">
        <v>57138.149376000001</v>
      </c>
      <c r="F49" s="8">
        <v>482250.83200000005</v>
      </c>
    </row>
    <row r="50" spans="1:6" x14ac:dyDescent="0.35">
      <c r="A50">
        <v>0</v>
      </c>
      <c r="B50" t="s">
        <v>27</v>
      </c>
      <c r="C50" t="s">
        <v>39</v>
      </c>
      <c r="D50" t="s">
        <v>41</v>
      </c>
      <c r="E50" s="6">
        <v>305698.11148800002</v>
      </c>
      <c r="F50" s="8">
        <v>74081.279999999999</v>
      </c>
    </row>
    <row r="51" spans="1:6" x14ac:dyDescent="0.35">
      <c r="A51">
        <v>0</v>
      </c>
      <c r="B51" t="s">
        <v>27</v>
      </c>
      <c r="C51" t="s">
        <v>39</v>
      </c>
      <c r="D51" t="s">
        <v>42</v>
      </c>
      <c r="E51" s="6">
        <v>80518.699008000011</v>
      </c>
      <c r="F51" s="8">
        <v>679584.65600000008</v>
      </c>
    </row>
    <row r="52" spans="1:6" x14ac:dyDescent="0.35">
      <c r="A52">
        <v>0</v>
      </c>
      <c r="B52" t="s">
        <v>27</v>
      </c>
      <c r="C52" t="s">
        <v>32</v>
      </c>
      <c r="D52" t="s">
        <v>42</v>
      </c>
      <c r="E52" s="6">
        <v>323310.77222400001</v>
      </c>
      <c r="F52" s="8">
        <v>2728770.3680000002</v>
      </c>
    </row>
    <row r="53" spans="1:6" x14ac:dyDescent="0.35">
      <c r="A53">
        <v>0</v>
      </c>
      <c r="B53" t="s">
        <v>32</v>
      </c>
      <c r="C53" t="s">
        <v>17</v>
      </c>
      <c r="D53" t="s">
        <v>42</v>
      </c>
      <c r="E53" s="6">
        <v>383950.85414400004</v>
      </c>
      <c r="F53" s="8">
        <v>3240577.8080000007</v>
      </c>
    </row>
    <row r="54" spans="1:6" x14ac:dyDescent="0.35">
      <c r="A54">
        <v>0</v>
      </c>
      <c r="B54" t="s">
        <v>32</v>
      </c>
      <c r="C54" t="s">
        <v>28</v>
      </c>
      <c r="D54" t="s">
        <v>42</v>
      </c>
      <c r="E54" s="6">
        <v>263597.672448</v>
      </c>
      <c r="F54" s="8">
        <v>2224786.7360000005</v>
      </c>
    </row>
    <row r="55" spans="1:6" x14ac:dyDescent="0.35">
      <c r="A55">
        <v>0</v>
      </c>
      <c r="B55" t="s">
        <v>32</v>
      </c>
      <c r="C55" t="s">
        <v>27</v>
      </c>
      <c r="D55" t="s">
        <v>42</v>
      </c>
      <c r="E55" s="6">
        <v>323310.77222400001</v>
      </c>
      <c r="F55" s="8">
        <v>2728770.3680000002</v>
      </c>
    </row>
    <row r="56" spans="1:6" x14ac:dyDescent="0.35">
      <c r="A56">
        <v>0</v>
      </c>
      <c r="B56" t="s">
        <v>32</v>
      </c>
      <c r="C56" t="s">
        <v>30</v>
      </c>
      <c r="D56" t="s">
        <v>41</v>
      </c>
      <c r="E56" s="6">
        <v>471215.92320000002</v>
      </c>
      <c r="F56" s="8">
        <v>114192</v>
      </c>
    </row>
    <row r="57" spans="1:6" x14ac:dyDescent="0.35">
      <c r="A57">
        <v>0</v>
      </c>
      <c r="B57" t="s">
        <v>32</v>
      </c>
      <c r="C57" t="s">
        <v>19</v>
      </c>
      <c r="D57" t="s">
        <v>41</v>
      </c>
      <c r="E57" s="6">
        <v>401074.27430400002</v>
      </c>
      <c r="F57" s="8">
        <v>97194.240000000005</v>
      </c>
    </row>
    <row r="58" spans="1:6" x14ac:dyDescent="0.35">
      <c r="A58">
        <v>0</v>
      </c>
      <c r="B58" t="s">
        <v>32</v>
      </c>
      <c r="C58" t="s">
        <v>29</v>
      </c>
      <c r="D58" t="s">
        <v>41</v>
      </c>
      <c r="E58" s="6">
        <v>188177.37523200002</v>
      </c>
      <c r="F58" s="8">
        <v>45601.919999999998</v>
      </c>
    </row>
    <row r="59" spans="1:6" x14ac:dyDescent="0.35">
      <c r="A59">
        <v>0</v>
      </c>
      <c r="B59" t="s">
        <v>32</v>
      </c>
      <c r="C59" t="s">
        <v>29</v>
      </c>
      <c r="D59" t="s">
        <v>42</v>
      </c>
      <c r="E59" s="6">
        <v>59610.101760000005</v>
      </c>
      <c r="F59" s="8">
        <v>503114.32000000007</v>
      </c>
    </row>
    <row r="60" spans="1:6" x14ac:dyDescent="0.35">
      <c r="A60">
        <v>0</v>
      </c>
      <c r="B60" t="s">
        <v>32</v>
      </c>
      <c r="C60" t="s">
        <v>31</v>
      </c>
      <c r="D60" t="s">
        <v>42</v>
      </c>
      <c r="E60" s="6">
        <v>341953.41312000004</v>
      </c>
      <c r="F60" s="8">
        <v>2886115.8400000003</v>
      </c>
    </row>
    <row r="61" spans="1:6" x14ac:dyDescent="0.35">
      <c r="A61">
        <v>0</v>
      </c>
      <c r="B61" t="s">
        <v>32</v>
      </c>
      <c r="C61" t="s">
        <v>18</v>
      </c>
      <c r="D61" t="s">
        <v>41</v>
      </c>
      <c r="E61" s="6">
        <v>319499.84563200001</v>
      </c>
      <c r="F61" s="8">
        <v>77425.919999999998</v>
      </c>
    </row>
    <row r="62" spans="1:6" x14ac:dyDescent="0.35">
      <c r="A62">
        <v>0</v>
      </c>
      <c r="B62" t="s">
        <v>25</v>
      </c>
      <c r="C62" t="s">
        <v>14</v>
      </c>
      <c r="D62" t="s">
        <v>42</v>
      </c>
      <c r="E62" s="6">
        <v>285973.99142400001</v>
      </c>
      <c r="F62" s="8">
        <v>2413644.7680000002</v>
      </c>
    </row>
    <row r="63" spans="1:6" x14ac:dyDescent="0.35">
      <c r="A63">
        <v>0</v>
      </c>
      <c r="B63" t="s">
        <v>25</v>
      </c>
      <c r="C63" t="s">
        <v>47</v>
      </c>
      <c r="D63" t="s">
        <v>41</v>
      </c>
      <c r="E63" s="6">
        <v>106396.950528</v>
      </c>
      <c r="F63" s="8">
        <v>25783.68</v>
      </c>
    </row>
    <row r="64" spans="1:6" x14ac:dyDescent="0.35">
      <c r="A64">
        <v>0</v>
      </c>
      <c r="B64" t="s">
        <v>25</v>
      </c>
      <c r="C64" t="s">
        <v>47</v>
      </c>
      <c r="D64" t="s">
        <v>42</v>
      </c>
      <c r="E64" s="6">
        <v>108637.157376</v>
      </c>
      <c r="F64" s="8">
        <v>916906.83200000017</v>
      </c>
    </row>
    <row r="65" spans="1:6" x14ac:dyDescent="0.35">
      <c r="A65">
        <v>0</v>
      </c>
      <c r="B65" t="s">
        <v>25</v>
      </c>
      <c r="C65" t="s">
        <v>30</v>
      </c>
      <c r="D65" t="s">
        <v>42</v>
      </c>
      <c r="E65" s="6">
        <v>175354.12224000003</v>
      </c>
      <c r="F65" s="8">
        <v>1480003.6800000002</v>
      </c>
    </row>
    <row r="66" spans="1:6" x14ac:dyDescent="0.35">
      <c r="A66">
        <v>0</v>
      </c>
      <c r="B66" t="s">
        <v>25</v>
      </c>
      <c r="C66" t="s">
        <v>16</v>
      </c>
      <c r="D66" t="s">
        <v>41</v>
      </c>
      <c r="E66" s="6">
        <v>94037.188608000011</v>
      </c>
      <c r="F66" s="8">
        <v>22788.48</v>
      </c>
    </row>
    <row r="67" spans="1:6" x14ac:dyDescent="0.35">
      <c r="A67">
        <v>0</v>
      </c>
      <c r="B67" t="s">
        <v>25</v>
      </c>
      <c r="C67" t="s">
        <v>19</v>
      </c>
      <c r="D67" t="s">
        <v>42</v>
      </c>
      <c r="E67" s="6">
        <v>177697.32710400003</v>
      </c>
      <c r="F67" s="8">
        <v>1499780.5280000002</v>
      </c>
    </row>
    <row r="68" spans="1:6" x14ac:dyDescent="0.35">
      <c r="A68">
        <v>0</v>
      </c>
      <c r="B68" t="s">
        <v>25</v>
      </c>
      <c r="C68" t="s">
        <v>18</v>
      </c>
      <c r="D68" t="s">
        <v>42</v>
      </c>
      <c r="E68" s="6">
        <v>267537.34656000003</v>
      </c>
      <c r="F68" s="8">
        <v>2258037.9200000004</v>
      </c>
    </row>
    <row r="69" spans="1:6" x14ac:dyDescent="0.35">
      <c r="A69">
        <v>0</v>
      </c>
      <c r="B69" t="s">
        <v>30</v>
      </c>
      <c r="C69" t="s">
        <v>32</v>
      </c>
      <c r="D69" t="s">
        <v>41</v>
      </c>
      <c r="E69" s="6">
        <v>471215.92320000002</v>
      </c>
      <c r="F69" s="8">
        <v>114192</v>
      </c>
    </row>
    <row r="70" spans="1:6" x14ac:dyDescent="0.35">
      <c r="A70">
        <v>0</v>
      </c>
      <c r="B70" t="s">
        <v>30</v>
      </c>
      <c r="C70" t="s">
        <v>25</v>
      </c>
      <c r="D70" t="s">
        <v>42</v>
      </c>
      <c r="E70" s="6">
        <v>175354.12224000003</v>
      </c>
      <c r="F70" s="8">
        <v>1480003.6800000002</v>
      </c>
    </row>
    <row r="71" spans="1:6" x14ac:dyDescent="0.35">
      <c r="A71">
        <v>0</v>
      </c>
      <c r="B71" t="s">
        <v>30</v>
      </c>
      <c r="C71" t="s">
        <v>19</v>
      </c>
      <c r="D71" t="s">
        <v>41</v>
      </c>
      <c r="E71" s="6">
        <v>192503.29190400001</v>
      </c>
      <c r="F71" s="8">
        <v>46650.239999999998</v>
      </c>
    </row>
    <row r="72" spans="1:6" x14ac:dyDescent="0.35">
      <c r="A72">
        <v>0</v>
      </c>
      <c r="B72" t="s">
        <v>30</v>
      </c>
      <c r="C72" t="s">
        <v>19</v>
      </c>
      <c r="D72" t="s">
        <v>42</v>
      </c>
      <c r="E72" s="6">
        <v>105238.222848</v>
      </c>
      <c r="F72" s="8">
        <v>888219.53600000008</v>
      </c>
    </row>
    <row r="73" spans="1:6" x14ac:dyDescent="0.35">
      <c r="A73">
        <v>0</v>
      </c>
      <c r="B73" t="s">
        <v>30</v>
      </c>
      <c r="C73" t="s">
        <v>29</v>
      </c>
      <c r="D73" t="s">
        <v>41</v>
      </c>
      <c r="E73" s="6">
        <v>487386.61171200004</v>
      </c>
      <c r="F73" s="8">
        <v>118110.72</v>
      </c>
    </row>
    <row r="74" spans="1:6" x14ac:dyDescent="0.35">
      <c r="A74">
        <v>0</v>
      </c>
      <c r="B74" t="s">
        <v>26</v>
      </c>
      <c r="C74" t="s">
        <v>39</v>
      </c>
      <c r="D74" t="s">
        <v>41</v>
      </c>
      <c r="E74" s="6">
        <v>844068.74112000002</v>
      </c>
      <c r="F74" s="8">
        <v>204547.20000000001</v>
      </c>
    </row>
    <row r="75" spans="1:6" x14ac:dyDescent="0.35">
      <c r="A75">
        <v>0</v>
      </c>
      <c r="B75" t="s">
        <v>26</v>
      </c>
      <c r="C75" t="s">
        <v>16</v>
      </c>
      <c r="D75" t="s">
        <v>41</v>
      </c>
      <c r="E75" s="6">
        <v>243178.315776</v>
      </c>
      <c r="F75" s="8">
        <v>58930.560000000005</v>
      </c>
    </row>
    <row r="76" spans="1:6" x14ac:dyDescent="0.35">
      <c r="A76">
        <v>47</v>
      </c>
      <c r="B76" t="s">
        <v>16</v>
      </c>
      <c r="C76" t="s">
        <v>47</v>
      </c>
      <c r="D76" t="s">
        <v>41</v>
      </c>
      <c r="E76" s="6">
        <v>47482.085376000003</v>
      </c>
      <c r="F76" s="8">
        <v>11506.56</v>
      </c>
    </row>
    <row r="77" spans="1:6" x14ac:dyDescent="0.35">
      <c r="A77">
        <v>51</v>
      </c>
      <c r="B77" t="s">
        <v>16</v>
      </c>
      <c r="C77" t="s">
        <v>25</v>
      </c>
      <c r="D77" t="s">
        <v>41</v>
      </c>
      <c r="E77" s="6">
        <v>94037.188608000011</v>
      </c>
      <c r="F77" s="8">
        <v>22788.48</v>
      </c>
    </row>
    <row r="78" spans="1:6" x14ac:dyDescent="0.35">
      <c r="A78">
        <v>9</v>
      </c>
      <c r="B78" t="s">
        <v>16</v>
      </c>
      <c r="C78" t="s">
        <v>26</v>
      </c>
      <c r="D78" t="s">
        <v>41</v>
      </c>
      <c r="E78" s="6">
        <v>243178.315776</v>
      </c>
      <c r="F78" s="8">
        <v>58930.560000000005</v>
      </c>
    </row>
    <row r="79" spans="1:6" x14ac:dyDescent="0.35">
      <c r="A79">
        <v>0</v>
      </c>
      <c r="B79" t="s">
        <v>19</v>
      </c>
      <c r="C79" t="s">
        <v>14</v>
      </c>
      <c r="D79" t="s">
        <v>42</v>
      </c>
      <c r="E79" s="6">
        <v>263005.43385600002</v>
      </c>
      <c r="F79" s="8">
        <v>2219788.1920000003</v>
      </c>
    </row>
    <row r="80" spans="1:6" x14ac:dyDescent="0.35">
      <c r="A80">
        <v>0</v>
      </c>
      <c r="B80" t="s">
        <v>19</v>
      </c>
      <c r="C80" t="s">
        <v>32</v>
      </c>
      <c r="D80" t="s">
        <v>41</v>
      </c>
      <c r="E80" s="6">
        <v>401074.27430400002</v>
      </c>
      <c r="F80" s="8">
        <v>97194.240000000005</v>
      </c>
    </row>
    <row r="81" spans="1:6" x14ac:dyDescent="0.35">
      <c r="A81">
        <v>0</v>
      </c>
      <c r="B81" t="s">
        <v>19</v>
      </c>
      <c r="C81" t="s">
        <v>25</v>
      </c>
      <c r="D81" t="s">
        <v>42</v>
      </c>
      <c r="E81" s="6">
        <v>177697.32710400003</v>
      </c>
      <c r="F81" s="8">
        <v>1499780.5280000002</v>
      </c>
    </row>
    <row r="82" spans="1:6" x14ac:dyDescent="0.35">
      <c r="A82">
        <v>21</v>
      </c>
      <c r="B82" t="s">
        <v>19</v>
      </c>
      <c r="C82" t="s">
        <v>30</v>
      </c>
      <c r="D82" t="s">
        <v>41</v>
      </c>
      <c r="E82" s="6">
        <v>192503.29190400001</v>
      </c>
      <c r="F82" s="8">
        <v>46650.239999999998</v>
      </c>
    </row>
    <row r="83" spans="1:6" x14ac:dyDescent="0.35">
      <c r="A83">
        <v>0</v>
      </c>
      <c r="B83" t="s">
        <v>19</v>
      </c>
      <c r="C83" t="s">
        <v>30</v>
      </c>
      <c r="D83" t="s">
        <v>42</v>
      </c>
      <c r="E83" s="6">
        <v>105238.222848</v>
      </c>
      <c r="F83" s="8">
        <v>888219.53600000008</v>
      </c>
    </row>
    <row r="84" spans="1:6" x14ac:dyDescent="0.35">
      <c r="A84">
        <v>20</v>
      </c>
      <c r="B84" t="s">
        <v>19</v>
      </c>
      <c r="C84" t="s">
        <v>29</v>
      </c>
      <c r="D84" t="s">
        <v>41</v>
      </c>
      <c r="E84" s="6">
        <v>482545.70496000006</v>
      </c>
      <c r="F84" s="8">
        <v>116937.60000000001</v>
      </c>
    </row>
    <row r="85" spans="1:6" x14ac:dyDescent="0.35">
      <c r="A85">
        <v>0</v>
      </c>
      <c r="B85" t="s">
        <v>19</v>
      </c>
      <c r="C85" t="s">
        <v>18</v>
      </c>
      <c r="D85" t="s">
        <v>41</v>
      </c>
      <c r="E85" s="6">
        <v>267897.83961600001</v>
      </c>
      <c r="F85" s="8">
        <v>64920.959999999999</v>
      </c>
    </row>
    <row r="86" spans="1:6" x14ac:dyDescent="0.35">
      <c r="A86">
        <v>0</v>
      </c>
      <c r="B86" t="s">
        <v>19</v>
      </c>
      <c r="C86" t="s">
        <v>18</v>
      </c>
      <c r="D86" t="s">
        <v>42</v>
      </c>
      <c r="E86" s="6">
        <v>89788.52044800001</v>
      </c>
      <c r="F86" s="8">
        <v>757822.73600000015</v>
      </c>
    </row>
    <row r="87" spans="1:6" x14ac:dyDescent="0.35">
      <c r="A87">
        <v>0</v>
      </c>
      <c r="B87" t="s">
        <v>29</v>
      </c>
      <c r="C87" t="s">
        <v>28</v>
      </c>
      <c r="D87" t="s">
        <v>42</v>
      </c>
      <c r="E87" s="6">
        <v>238543.40505600002</v>
      </c>
      <c r="F87" s="8">
        <v>2013326.5920000002</v>
      </c>
    </row>
    <row r="88" spans="1:6" x14ac:dyDescent="0.35">
      <c r="A88">
        <v>0</v>
      </c>
      <c r="B88" t="s">
        <v>29</v>
      </c>
      <c r="C88" t="s">
        <v>32</v>
      </c>
      <c r="D88" t="s">
        <v>41</v>
      </c>
      <c r="E88" s="6">
        <v>188177.37523200002</v>
      </c>
      <c r="F88" s="8">
        <v>45601.919999999998</v>
      </c>
    </row>
    <row r="89" spans="1:6" x14ac:dyDescent="0.35">
      <c r="A89">
        <v>0</v>
      </c>
      <c r="B89" t="s">
        <v>29</v>
      </c>
      <c r="C89" t="s">
        <v>32</v>
      </c>
      <c r="D89" t="s">
        <v>42</v>
      </c>
      <c r="E89" s="6">
        <v>59610.101760000005</v>
      </c>
      <c r="F89" s="8">
        <v>503114.32000000007</v>
      </c>
    </row>
    <row r="90" spans="1:6" x14ac:dyDescent="0.35">
      <c r="A90">
        <v>0</v>
      </c>
      <c r="B90" t="s">
        <v>29</v>
      </c>
      <c r="C90" t="s">
        <v>30</v>
      </c>
      <c r="D90" t="s">
        <v>41</v>
      </c>
      <c r="E90" s="6">
        <v>487386.61171200004</v>
      </c>
      <c r="F90" s="8">
        <v>118110.72</v>
      </c>
    </row>
    <row r="91" spans="1:6" x14ac:dyDescent="0.35">
      <c r="A91">
        <v>0</v>
      </c>
      <c r="B91" t="s">
        <v>29</v>
      </c>
      <c r="C91" t="s">
        <v>19</v>
      </c>
      <c r="D91" t="s">
        <v>41</v>
      </c>
      <c r="E91" s="6">
        <v>482545.70496000006</v>
      </c>
      <c r="F91" s="8">
        <v>116937.60000000001</v>
      </c>
    </row>
    <row r="92" spans="1:6" x14ac:dyDescent="0.35">
      <c r="A92">
        <v>0</v>
      </c>
      <c r="B92" t="s">
        <v>31</v>
      </c>
      <c r="C92" t="s">
        <v>17</v>
      </c>
      <c r="D92" t="s">
        <v>42</v>
      </c>
      <c r="E92" s="6">
        <v>259606.49932800001</v>
      </c>
      <c r="F92" s="8">
        <v>2191100.8960000002</v>
      </c>
    </row>
    <row r="93" spans="1:6" x14ac:dyDescent="0.35">
      <c r="A93">
        <v>0</v>
      </c>
      <c r="B93" t="s">
        <v>31</v>
      </c>
      <c r="C93" t="s">
        <v>15</v>
      </c>
      <c r="D93" t="s">
        <v>42</v>
      </c>
      <c r="E93" s="6">
        <v>274644.20966400002</v>
      </c>
      <c r="F93" s="8">
        <v>2318020.4480000003</v>
      </c>
    </row>
    <row r="94" spans="1:6" x14ac:dyDescent="0.35">
      <c r="A94">
        <v>0</v>
      </c>
      <c r="B94" t="s">
        <v>31</v>
      </c>
      <c r="C94" t="s">
        <v>39</v>
      </c>
      <c r="D94" t="s">
        <v>42</v>
      </c>
      <c r="E94" s="6">
        <v>269571.55737600004</v>
      </c>
      <c r="F94" s="8">
        <v>2275206.8320000004</v>
      </c>
    </row>
    <row r="95" spans="1:6" x14ac:dyDescent="0.35">
      <c r="A95">
        <v>0</v>
      </c>
      <c r="B95" t="s">
        <v>31</v>
      </c>
      <c r="C95" t="s">
        <v>44</v>
      </c>
      <c r="D95" t="s">
        <v>42</v>
      </c>
      <c r="E95" s="6">
        <v>359334.32832000003</v>
      </c>
      <c r="F95" s="8">
        <v>3032812.24</v>
      </c>
    </row>
    <row r="96" spans="1:6" x14ac:dyDescent="0.35">
      <c r="A96">
        <v>0</v>
      </c>
      <c r="B96" t="s">
        <v>31</v>
      </c>
      <c r="C96" t="s">
        <v>32</v>
      </c>
      <c r="D96" t="s">
        <v>42</v>
      </c>
      <c r="E96" s="6">
        <v>341953.41312000004</v>
      </c>
      <c r="F96" s="8">
        <v>2886115.8400000003</v>
      </c>
    </row>
    <row r="97" spans="1:15" x14ac:dyDescent="0.35">
      <c r="A97">
        <v>0</v>
      </c>
      <c r="B97" t="s">
        <v>18</v>
      </c>
      <c r="C97" t="s">
        <v>14</v>
      </c>
      <c r="D97" t="s">
        <v>42</v>
      </c>
      <c r="E97" s="6">
        <v>334022.56588800001</v>
      </c>
      <c r="F97" s="8">
        <v>2819178.8160000006</v>
      </c>
    </row>
    <row r="98" spans="1:15" x14ac:dyDescent="0.35">
      <c r="A98">
        <v>0</v>
      </c>
      <c r="B98" t="s">
        <v>18</v>
      </c>
      <c r="C98" t="s">
        <v>47</v>
      </c>
      <c r="D98" t="s">
        <v>42</v>
      </c>
      <c r="E98" s="6">
        <v>286308.73497600004</v>
      </c>
      <c r="F98" s="8">
        <v>2416470.0320000001</v>
      </c>
    </row>
    <row r="99" spans="1:15" x14ac:dyDescent="0.35">
      <c r="A99">
        <v>21</v>
      </c>
      <c r="B99" t="s">
        <v>18</v>
      </c>
      <c r="C99" t="s">
        <v>32</v>
      </c>
      <c r="D99" t="s">
        <v>41</v>
      </c>
      <c r="E99" s="6">
        <v>319499.84563200001</v>
      </c>
      <c r="F99" s="8">
        <v>77425.919999999998</v>
      </c>
    </row>
    <row r="100" spans="1:15" x14ac:dyDescent="0.35">
      <c r="A100">
        <v>0</v>
      </c>
      <c r="B100" t="s">
        <v>18</v>
      </c>
      <c r="C100" t="s">
        <v>25</v>
      </c>
      <c r="D100" t="s">
        <v>42</v>
      </c>
      <c r="E100" s="6">
        <v>267537.34656000003</v>
      </c>
      <c r="F100" s="8">
        <v>2258037.9200000004</v>
      </c>
    </row>
    <row r="101" spans="1:15" x14ac:dyDescent="0.35">
      <c r="A101">
        <v>0</v>
      </c>
      <c r="B101" t="s">
        <v>18</v>
      </c>
      <c r="C101" t="s">
        <v>19</v>
      </c>
      <c r="D101" t="s">
        <v>41</v>
      </c>
      <c r="E101" s="6">
        <v>267897.83961600001</v>
      </c>
      <c r="F101" s="8">
        <v>64920.959999999999</v>
      </c>
    </row>
    <row r="102" spans="1:15" x14ac:dyDescent="0.35">
      <c r="A102">
        <v>61</v>
      </c>
      <c r="B102" t="s">
        <v>18</v>
      </c>
      <c r="C102" t="s">
        <v>19</v>
      </c>
      <c r="D102" t="s">
        <v>42</v>
      </c>
      <c r="E102" s="6">
        <v>89788.52044800001</v>
      </c>
      <c r="F102" s="8">
        <v>757822.73600000015</v>
      </c>
    </row>
    <row r="104" spans="1:15" x14ac:dyDescent="0.35">
      <c r="G104" t="s">
        <v>53</v>
      </c>
      <c r="H104" t="s">
        <v>54</v>
      </c>
      <c r="I104" t="s">
        <v>55</v>
      </c>
      <c r="J104" t="s">
        <v>60</v>
      </c>
    </row>
    <row r="105" spans="1:15" x14ac:dyDescent="0.35">
      <c r="G105" s="6">
        <f>SUMPRODUCT($A$3:$A$100,E3:E100)</f>
        <v>13260451585.925121</v>
      </c>
      <c r="H105" s="8">
        <f>SUMPRODUCT($A$3:$A$100,F3:F100)</f>
        <v>203682672.63999999</v>
      </c>
      <c r="I105" s="12">
        <f>G105*(1-J105)+H105*J105</f>
        <v>203682672.63999999</v>
      </c>
      <c r="J105" s="5">
        <v>1</v>
      </c>
      <c r="M105" t="s">
        <v>4</v>
      </c>
      <c r="N105" t="s">
        <v>5</v>
      </c>
      <c r="O105" t="s">
        <v>6</v>
      </c>
    </row>
    <row r="106" spans="1:15" x14ac:dyDescent="0.35">
      <c r="G106" s="10">
        <f>G105/ABS($O$106)/1000</f>
        <v>26206.426059140555</v>
      </c>
      <c r="H106" s="8">
        <f>H105/ABS($O$106)/1000</f>
        <v>402.53492616600789</v>
      </c>
      <c r="I106" t="s">
        <v>56</v>
      </c>
      <c r="M106" t="s">
        <v>59</v>
      </c>
      <c r="N106">
        <f>SUMIF(Nodes38[Destination],M106,Nodes38[Units])-SUMIF(Nodes38[Origin],M106,Nodes38[Units])</f>
        <v>-506</v>
      </c>
      <c r="O106">
        <f>-SUM(_xlfn.ANCHORARRAY(O107))</f>
        <v>-506</v>
      </c>
    </row>
    <row r="107" spans="1:15" x14ac:dyDescent="0.35">
      <c r="G107" s="10">
        <f>T3Report!G4</f>
        <v>13280158921.390593</v>
      </c>
      <c r="M107" t="str" cm="1">
        <f t="array" ref="M107:M124">T3Data!B2:B19</f>
        <v>MUN</v>
      </c>
      <c r="N107">
        <f>SUMIF(Nodes38[Destination],M107,Nodes38[Units])-SUMIF(Nodes38[Origin],M107,Nodes38[Units])</f>
        <v>82</v>
      </c>
      <c r="O107" cm="1">
        <f t="array" ref="O107:O124">T3Data!F2:F19</f>
        <v>82</v>
      </c>
    </row>
    <row r="108" spans="1:15" x14ac:dyDescent="0.35">
      <c r="M108" t="str">
        <v>CHE</v>
      </c>
      <c r="N108">
        <f>SUMIF(Nodes38[Destination],M108,Nodes38[Units])-SUMIF(Nodes38[Origin],M108,Nodes38[Units])</f>
        <v>9</v>
      </c>
      <c r="O108">
        <v>9</v>
      </c>
    </row>
    <row r="109" spans="1:15" x14ac:dyDescent="0.35">
      <c r="M109" t="str">
        <v>BKK</v>
      </c>
      <c r="N109">
        <f>SUMIF(Nodes38[Destination],M109,Nodes38[Units])-SUMIF(Nodes38[Origin],M109,Nodes38[Units])</f>
        <v>9</v>
      </c>
      <c r="O109">
        <v>9</v>
      </c>
    </row>
    <row r="110" spans="1:15" x14ac:dyDescent="0.35">
      <c r="M110" t="str">
        <v>DAL</v>
      </c>
      <c r="N110">
        <f>SUMIF(Nodes38[Destination],M110,Nodes38[Units])-SUMIF(Nodes38[Origin],M110,Nodes38[Units])</f>
        <v>86</v>
      </c>
      <c r="O110">
        <v>86</v>
      </c>
    </row>
    <row r="111" spans="1:15" x14ac:dyDescent="0.35">
      <c r="M111" t="str">
        <v>TAM</v>
      </c>
      <c r="N111">
        <f>SUMIF(Nodes38[Destination],M111,Nodes38[Units])-SUMIF(Nodes38[Origin],M111,Nodes38[Units])</f>
        <v>5</v>
      </c>
      <c r="O111">
        <v>5</v>
      </c>
    </row>
    <row r="112" spans="1:15" x14ac:dyDescent="0.35">
      <c r="M112" t="str">
        <v>SAV</v>
      </c>
      <c r="N112">
        <f>SUMIF(Nodes38[Destination],M112,Nodes38[Units])-SUMIF(Nodes38[Origin],M112,Nodes38[Units])</f>
        <v>20</v>
      </c>
      <c r="O112">
        <v>20</v>
      </c>
    </row>
    <row r="113" spans="13:15" x14ac:dyDescent="0.35">
      <c r="M113" t="str">
        <v>ARA</v>
      </c>
      <c r="N113">
        <f>SUMIF(Nodes38[Destination],M113,Nodes38[Units])-SUMIF(Nodes38[Origin],M113,Nodes38[Units])</f>
        <v>4</v>
      </c>
      <c r="O113">
        <v>4</v>
      </c>
    </row>
    <row r="114" spans="13:15" x14ac:dyDescent="0.35">
      <c r="M114" t="str">
        <v>DUR</v>
      </c>
      <c r="N114">
        <f>SUMIF(Nodes38[Destination],M114,Nodes38[Units])-SUMIF(Nodes38[Origin],M114,Nodes38[Units])</f>
        <v>1</v>
      </c>
      <c r="O114">
        <v>1</v>
      </c>
    </row>
    <row r="115" spans="13:15" x14ac:dyDescent="0.35">
      <c r="M115" t="str">
        <v>GOA</v>
      </c>
      <c r="N115">
        <f>SUMIF(Nodes38[Destination],M115,Nodes38[Units])-SUMIF(Nodes38[Origin],M115,Nodes38[Units])</f>
        <v>48</v>
      </c>
      <c r="O115">
        <v>48</v>
      </c>
    </row>
    <row r="116" spans="13:15" x14ac:dyDescent="0.35">
      <c r="M116" t="str">
        <v>LON</v>
      </c>
      <c r="N116">
        <f>SUMIF(Nodes38[Destination],M116,Nodes38[Units])-SUMIF(Nodes38[Origin],M116,Nodes38[Units])</f>
        <v>51</v>
      </c>
      <c r="O116">
        <v>51</v>
      </c>
    </row>
    <row r="117" spans="13:15" x14ac:dyDescent="0.35">
      <c r="M117" t="str">
        <v>MOS</v>
      </c>
      <c r="N117">
        <f>SUMIF(Nodes38[Destination],M117,Nodes38[Units])-SUMIF(Nodes38[Origin],M117,Nodes38[Units])</f>
        <v>9</v>
      </c>
      <c r="O117">
        <v>9</v>
      </c>
    </row>
    <row r="118" spans="13:15" x14ac:dyDescent="0.35">
      <c r="M118" t="str">
        <v>HKG</v>
      </c>
      <c r="N118">
        <f>SUMIF(Nodes38[Destination],M118,Nodes38[Units])-SUMIF(Nodes38[Origin],M118,Nodes38[Units])</f>
        <v>85</v>
      </c>
      <c r="O118">
        <v>85</v>
      </c>
    </row>
    <row r="119" spans="13:15" x14ac:dyDescent="0.35">
      <c r="M119" t="str">
        <v>BUS</v>
      </c>
      <c r="N119">
        <f>SUMIF(Nodes38[Destination],M119,Nodes38[Units])-SUMIF(Nodes38[Origin],M119,Nodes38[Units])</f>
        <v>26</v>
      </c>
      <c r="O119">
        <v>26</v>
      </c>
    </row>
    <row r="120" spans="13:15" x14ac:dyDescent="0.35">
      <c r="M120" t="str">
        <v>LAX</v>
      </c>
      <c r="N120">
        <f>SUMIF(Nodes38[Destination],M120,Nodes38[Units])-SUMIF(Nodes38[Origin],M120,Nodes38[Units])</f>
        <v>21</v>
      </c>
      <c r="O120">
        <v>21</v>
      </c>
    </row>
    <row r="121" spans="13:15" x14ac:dyDescent="0.35">
      <c r="M121" t="str">
        <v>SEA</v>
      </c>
      <c r="N121">
        <f>SUMIF(Nodes38[Destination],M121,Nodes38[Units])-SUMIF(Nodes38[Origin],M121,Nodes38[Units])</f>
        <v>20</v>
      </c>
      <c r="O121">
        <v>20</v>
      </c>
    </row>
    <row r="122" spans="13:15" x14ac:dyDescent="0.35">
      <c r="M122" t="str">
        <v>MON</v>
      </c>
      <c r="N122">
        <f>SUMIF(Nodes38[Destination],M122,Nodes38[Units])-SUMIF(Nodes38[Origin],M122,Nodes38[Units])</f>
        <v>21</v>
      </c>
      <c r="O122">
        <v>21</v>
      </c>
    </row>
    <row r="123" spans="13:15" x14ac:dyDescent="0.35">
      <c r="M123" t="str">
        <v>SYD</v>
      </c>
      <c r="N123">
        <f>SUMIF(Nodes38[Destination],M123,Nodes38[Units])-SUMIF(Nodes38[Origin],M123,Nodes38[Units])</f>
        <v>4</v>
      </c>
      <c r="O123">
        <v>4</v>
      </c>
    </row>
    <row r="124" spans="13:15" x14ac:dyDescent="0.35">
      <c r="M124" t="str">
        <v>DBI</v>
      </c>
      <c r="N124">
        <f>SUMIF(Nodes38[Destination],M124,Nodes38[Units])-SUMIF(Nodes38[Origin],M124,Nodes38[Units])</f>
        <v>5</v>
      </c>
      <c r="O124">
        <v>5</v>
      </c>
    </row>
  </sheetData>
  <conditionalFormatting sqref="A3:A102">
    <cfRule type="cellIs" dxfId="0" priority="1" operator="greaterThan">
      <formula>0</formula>
    </cfRule>
  </conditionalFormatting>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6904C-D393-4F26-8CAA-0CC737D08156}">
  <sheetPr codeName="Sheet14">
    <tabColor rgb="FF92D050"/>
  </sheetPr>
  <dimension ref="A2:N8"/>
  <sheetViews>
    <sheetView tabSelected="1" workbookViewId="0">
      <selection activeCell="B11" sqref="B11"/>
    </sheetView>
  </sheetViews>
  <sheetFormatPr defaultRowHeight="14.5" x14ac:dyDescent="0.35"/>
  <cols>
    <col min="1" max="1" width="21.6328125" customWidth="1"/>
    <col min="2" max="7" width="20.36328125" bestFit="1" customWidth="1"/>
    <col min="14" max="14" width="11.08984375" bestFit="1" customWidth="1"/>
  </cols>
  <sheetData>
    <row r="2" spans="1:14" x14ac:dyDescent="0.35">
      <c r="A2" s="18" t="s">
        <v>65</v>
      </c>
      <c r="B2" s="23" t="s">
        <v>70</v>
      </c>
      <c r="C2" s="24" t="s">
        <v>71</v>
      </c>
      <c r="D2" s="18" t="s">
        <v>75</v>
      </c>
      <c r="E2" s="18" t="s">
        <v>73</v>
      </c>
      <c r="F2" s="18" t="s">
        <v>76</v>
      </c>
      <c r="G2" s="18" t="s">
        <v>72</v>
      </c>
    </row>
    <row r="3" spans="1:14" x14ac:dyDescent="0.35">
      <c r="A3" s="2" t="s">
        <v>67</v>
      </c>
      <c r="B3" s="21">
        <f>T3BAU!$J$105</f>
        <v>0.5</v>
      </c>
      <c r="C3" s="25">
        <f>T3BAU!$J$105</f>
        <v>0.5</v>
      </c>
      <c r="D3" s="13">
        <f>T3LowerCost!$J$105</f>
        <v>0.33333333333333331</v>
      </c>
      <c r="E3" s="2">
        <f>T3Balanced!$J$105</f>
        <v>0.5</v>
      </c>
      <c r="F3" s="13">
        <f>T3LowerCO2!$J$105</f>
        <v>0.66</v>
      </c>
      <c r="G3" s="2">
        <f>T3LowestCO2!$J$105</f>
        <v>1</v>
      </c>
    </row>
    <row r="4" spans="1:14" x14ac:dyDescent="0.35">
      <c r="A4" s="2" t="s">
        <v>66</v>
      </c>
      <c r="B4" s="19">
        <f>T3BAU!$G$105</f>
        <v>13370925772.479485</v>
      </c>
      <c r="C4" s="26">
        <f>T3LowestCost!$G$105</f>
        <v>13017144170.117121</v>
      </c>
      <c r="D4" s="14">
        <f>T3LowerCost!$G$105</f>
        <v>13065986318.544895</v>
      </c>
      <c r="E4" s="14">
        <f>T3Balanced!$G$105</f>
        <v>13235347352.897026</v>
      </c>
      <c r="F4" s="14">
        <f>T3LowerCO2!$G$105</f>
        <v>13238631123.413506</v>
      </c>
      <c r="G4" s="14">
        <f>T3LowestCO2!$G$105</f>
        <v>13280158921.390593</v>
      </c>
      <c r="J4" s="34">
        <f>(G4/C4)-1</f>
        <v>2.0205257607675886E-2</v>
      </c>
      <c r="L4" s="34">
        <f>(B4/C4)-1</f>
        <v>2.7178127378701511E-2</v>
      </c>
      <c r="N4">
        <f>(B4/G4)-1</f>
        <v>6.8347714531256099E-3</v>
      </c>
    </row>
    <row r="5" spans="1:14" x14ac:dyDescent="0.35">
      <c r="A5" s="15" t="s">
        <v>74</v>
      </c>
      <c r="B5" s="19">
        <f>T3BAU!$G$106</f>
        <v>26424.754491066178</v>
      </c>
      <c r="C5" s="26">
        <f>T3LowestCost!$G$106</f>
        <v>25725.581363867826</v>
      </c>
      <c r="D5" s="14">
        <f>T3LowerCost!$G$106</f>
        <v>25822.107348902955</v>
      </c>
      <c r="E5" s="14">
        <f>T3Balanced!$G$106</f>
        <v>26156.812950389376</v>
      </c>
      <c r="F5" s="14">
        <f>T3LowerCO2!$G$106</f>
        <v>26163.302615441709</v>
      </c>
      <c r="G5" s="14">
        <f>T3LowestCO2!$G$106</f>
        <v>26245.373362431998</v>
      </c>
      <c r="N5" s="10">
        <f>B5*0.99</f>
        <v>26160.506946155518</v>
      </c>
    </row>
    <row r="6" spans="1:14" x14ac:dyDescent="0.35">
      <c r="A6" s="2" t="s">
        <v>68</v>
      </c>
      <c r="B6" s="20">
        <f>T3BAU!$H$105</f>
        <v>444600829.04000008</v>
      </c>
      <c r="C6" s="27">
        <f>T3LowestCost!$H$105</f>
        <v>640032794.6880002</v>
      </c>
      <c r="D6" s="16">
        <f>T3LowerCost!$H$105</f>
        <v>451885651.66400015</v>
      </c>
      <c r="E6" s="16">
        <f>T3Balanced!$H$105</f>
        <v>214919117.56799999</v>
      </c>
      <c r="F6" s="16">
        <f>T3LowerCO2!$H$105</f>
        <v>211855868.06399998</v>
      </c>
      <c r="G6" s="16">
        <f>T3LowestCO2!$H$105</f>
        <v>205012285.34399998</v>
      </c>
      <c r="J6" s="34">
        <f>(C6/G6)-1</f>
        <v>2.1219241013486503</v>
      </c>
      <c r="L6" s="34">
        <f>(B6/G6)-1</f>
        <v>1.1686545676713127</v>
      </c>
    </row>
    <row r="7" spans="1:14" x14ac:dyDescent="0.35">
      <c r="A7" s="15" t="s">
        <v>74</v>
      </c>
      <c r="B7" s="21">
        <f>T3BAU!$H$106</f>
        <v>878.65776490118583</v>
      </c>
      <c r="C7" s="25">
        <f>T3LowestCost!$H$106</f>
        <v>1264.8869460237158</v>
      </c>
      <c r="D7" s="2">
        <f>T3LowerCost!$H$106</f>
        <v>893.05464755731248</v>
      </c>
      <c r="E7" s="2">
        <f>T3Balanced!$H$106</f>
        <v>424.74133906719368</v>
      </c>
      <c r="F7" s="2">
        <f>T3LowerCO2!$H$106</f>
        <v>418.68748629249012</v>
      </c>
      <c r="G7" s="2">
        <f>T3LowestCO2!$H$106</f>
        <v>405.16261925691697</v>
      </c>
    </row>
    <row r="8" spans="1:14" x14ac:dyDescent="0.35">
      <c r="A8" s="2" t="s">
        <v>69</v>
      </c>
      <c r="B8" s="22">
        <f>T3BAU!$I$105</f>
        <v>6907763300.7597427</v>
      </c>
      <c r="C8" s="28">
        <f>T3LowestCost!$I$105</f>
        <v>13017144170.117121</v>
      </c>
      <c r="D8" s="17">
        <f>T3LowerCost!$I$105</f>
        <v>8861286096.2512646</v>
      </c>
      <c r="E8" s="17">
        <f>T3Balanced!$I$105</f>
        <v>6725133235.2325134</v>
      </c>
      <c r="F8" s="17">
        <f>T3LowerCO2!$I$105</f>
        <v>4640959454.8828316</v>
      </c>
      <c r="G8" s="17">
        <f>T3LowestCO2!$I$105</f>
        <v>205012285.34399998</v>
      </c>
    </row>
  </sheetData>
  <conditionalFormatting sqref="B4:G4">
    <cfRule type="colorScale" priority="6">
      <colorScale>
        <cfvo type="min"/>
        <cfvo type="percentile" val="50"/>
        <cfvo type="max"/>
        <color rgb="FF63BE7B"/>
        <color rgb="FFFFEB84"/>
        <color rgb="FFF8696B"/>
      </colorScale>
    </cfRule>
  </conditionalFormatting>
  <conditionalFormatting sqref="B5:G5">
    <cfRule type="colorScale" priority="8">
      <colorScale>
        <cfvo type="min"/>
        <cfvo type="percentile" val="50"/>
        <cfvo type="max"/>
        <color rgb="FF63BE7B"/>
        <color rgb="FFFFEB84"/>
        <color rgb="FFF8696B"/>
      </colorScale>
    </cfRule>
  </conditionalFormatting>
  <conditionalFormatting sqref="B6:G6">
    <cfRule type="colorScale" priority="10">
      <colorScale>
        <cfvo type="min"/>
        <cfvo type="percentile" val="50"/>
        <cfvo type="max"/>
        <color rgb="FF63BE7B"/>
        <color rgb="FFFFEB84"/>
        <color rgb="FFF8696B"/>
      </colorScale>
    </cfRule>
  </conditionalFormatting>
  <conditionalFormatting sqref="B7:G7">
    <cfRule type="colorScale" priority="12">
      <colorScale>
        <cfvo type="min"/>
        <cfvo type="percentile" val="50"/>
        <cfvo type="max"/>
        <color rgb="FF63BE7B"/>
        <color rgb="FFFFEB84"/>
        <color rgb="FFF8696B"/>
      </colorScale>
    </cfRule>
  </conditionalFormatting>
  <conditionalFormatting sqref="B8:G8">
    <cfRule type="colorScale" priority="14">
      <colorScale>
        <cfvo type="min"/>
        <cfvo type="percentile" val="50"/>
        <cfvo type="max"/>
        <color rgb="FF63BE7B"/>
        <color rgb="FFFFEB84"/>
        <color rgb="FFF8696B"/>
      </colorScale>
    </cfRule>
  </conditionalFormatting>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 
</file>

<file path=customXml/item3.xml>�� 
</file>

<file path=customXml/item4.xml>�� 
</file>

<file path=customXml/itemProps1.xml><?xml version="1.0" encoding="utf-8"?>
<ds:datastoreItem xmlns:ds="http://schemas.openxmlformats.org/officeDocument/2006/customXml" ds:itemID="{968AE682-C08A-4004-90BF-EA051BA65F17}">
  <ds:schemaRefs>
    <ds:schemaRef ds:uri="http://www.w3.org/2001/XMLSchema"/>
    <ds:schemaRef ds:uri="http://microsoft.data.visualization.engine.tours/1.0"/>
  </ds:schemaRefs>
</ds:datastoreItem>
</file>

<file path=customXml/itemProps2.xml><?xml version="1.0" encoding="utf-8"?>
<ds:datastoreItem xmlns:ds="http://schemas.openxmlformats.org/officeDocument/2006/customXml" ds:itemID="{AA47132A-4F14-4C25-A33A-6478EE09DCE1}">
  <ds:schemaRefs>
    <ds:schemaRef ds:uri="http://www.w3.org/2001/XMLSchema"/>
    <ds:schemaRef ds:uri="http://microsoft.data.visualization.Client.Excel/1.0"/>
  </ds:schemaRefs>
</ds:datastoreItem>
</file>

<file path=customXml/itemProps3.xml><?xml version="1.0" encoding="utf-8"?>
<ds:datastoreItem xmlns:ds="http://schemas.openxmlformats.org/officeDocument/2006/customXml" ds:itemID="{3553AEB3-35D1-4C76-B860-5503CDCE617E}">
  <ds:schemaRefs>
    <ds:schemaRef ds:uri="http://www.w3.org/2001/XMLSchema"/>
    <ds:schemaRef ds:uri="http://microsoft.data.visualization.engine.tours/1.0"/>
  </ds:schemaRefs>
</ds:datastoreItem>
</file>

<file path=customXml/itemProps4.xml><?xml version="1.0" encoding="utf-8"?>
<ds:datastoreItem xmlns:ds="http://schemas.openxmlformats.org/officeDocument/2006/customXml" ds:itemID="{2BBEC9F8-E592-4E25-9C92-BD9B311CBB0D}">
  <ds:schemaRefs>
    <ds:schemaRef ds:uri="http://www.w3.org/2001/XMLSchema"/>
    <ds:schemaRef ds:uri="http://microsoft.data.visualization.Client.Excel.LState/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3</vt:i4>
      </vt:variant>
    </vt:vector>
  </HeadingPairs>
  <TitlesOfParts>
    <vt:vector size="15" baseType="lpstr">
      <vt:lpstr>T1Solution</vt:lpstr>
      <vt:lpstr>T1Solution No Nut Cons</vt:lpstr>
      <vt:lpstr>T2Solution</vt:lpstr>
      <vt:lpstr>T3Data</vt:lpstr>
      <vt:lpstr>T3BAU</vt:lpstr>
      <vt:lpstr>T3LowestCost</vt:lpstr>
      <vt:lpstr>T3Balanced</vt:lpstr>
      <vt:lpstr>T3LowerCost</vt:lpstr>
      <vt:lpstr>T3LowerCO2</vt:lpstr>
      <vt:lpstr>T3LowestCO2</vt:lpstr>
      <vt:lpstr>T3UnlimitedCap</vt:lpstr>
      <vt:lpstr>T3Report</vt:lpstr>
      <vt:lpstr>RailDistances</vt:lpstr>
      <vt:lpstr>SeaDistances</vt:lpstr>
      <vt:lpstr>SiteList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Otto</dc:creator>
  <cp:lastModifiedBy>David Otto</cp:lastModifiedBy>
  <dcterms:created xsi:type="dcterms:W3CDTF">2023-02-16T12:15:09Z</dcterms:created>
  <dcterms:modified xsi:type="dcterms:W3CDTF">2024-01-14T07:31:15Z</dcterms:modified>
</cp:coreProperties>
</file>